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ofo2\Desktop\datosMasivos\"/>
    </mc:Choice>
  </mc:AlternateContent>
  <xr:revisionPtr revIDLastSave="0" documentId="13_ncr:1_{93FA4F41-F69D-4C0F-B668-F51AFDE9EEA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ados_Med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" i="1" l="1" a="1"/>
  <c r="AX2" i="1" s="1"/>
  <c r="F101" i="1"/>
  <c r="F100" i="1"/>
  <c r="F99" i="1"/>
  <c r="D100" i="1"/>
  <c r="D101" i="1"/>
  <c r="D9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<sst xmlns="http://schemas.openxmlformats.org/spreadsheetml/2006/main" count="2374" uniqueCount="350">
  <si>
    <t>ID_Paciente</t>
  </si>
  <si>
    <t>Nombre</t>
  </si>
  <si>
    <t>Edad</t>
  </si>
  <si>
    <t>Genero</t>
  </si>
  <si>
    <t>Estado</t>
  </si>
  <si>
    <t>Municipio</t>
  </si>
  <si>
    <t>Padecimiento_Principal</t>
  </si>
  <si>
    <t>Padecimiento_Secundario</t>
  </si>
  <si>
    <t>Peso_kg</t>
  </si>
  <si>
    <t>Altura_m</t>
  </si>
  <si>
    <t>IMC</t>
  </si>
  <si>
    <t>Presion_Sistolica</t>
  </si>
  <si>
    <t>Presion_Diastolica</t>
  </si>
  <si>
    <t>Glucosa_mg_dl</t>
  </si>
  <si>
    <t>Colesterol_mg_dl</t>
  </si>
  <si>
    <t>Trigliceridos_mg_dl</t>
  </si>
  <si>
    <t>Frecuencia_Cardiaca</t>
  </si>
  <si>
    <t>Saturacion_O2</t>
  </si>
  <si>
    <t>Temperatura_C</t>
  </si>
  <si>
    <t>Fecha_Consulta</t>
  </si>
  <si>
    <t>Medico</t>
  </si>
  <si>
    <t>Hospital</t>
  </si>
  <si>
    <t>Tratamiento</t>
  </si>
  <si>
    <t>Dosis</t>
  </si>
  <si>
    <t>Dias_Tratamiento</t>
  </si>
  <si>
    <t>Resultado</t>
  </si>
  <si>
    <t>Riesgo</t>
  </si>
  <si>
    <t>Fecha_Siguiente_Consulta</t>
  </si>
  <si>
    <t>Fuma</t>
  </si>
  <si>
    <t>Alcohol</t>
  </si>
  <si>
    <t>Actividad_Fisica</t>
  </si>
  <si>
    <t>Alergias</t>
  </si>
  <si>
    <t>Grupo_Sanguineo</t>
  </si>
  <si>
    <t>Embarazo</t>
  </si>
  <si>
    <t>Vacunado</t>
  </si>
  <si>
    <t>Antecedente_COVID</t>
  </si>
  <si>
    <t>Observaciones</t>
  </si>
  <si>
    <t>Costo_Consulta</t>
  </si>
  <si>
    <t>Costo_Laboratorio</t>
  </si>
  <si>
    <t>Costo_Medicamentos</t>
  </si>
  <si>
    <t>Total_Costo</t>
  </si>
  <si>
    <t>Seguro</t>
  </si>
  <si>
    <t>Tipo_Seguro</t>
  </si>
  <si>
    <t>Referencia</t>
  </si>
  <si>
    <t>Alta_Medica</t>
  </si>
  <si>
    <t>Estado_Clinico</t>
  </si>
  <si>
    <t>Nivel_Urgencia</t>
  </si>
  <si>
    <t>Registro_Estatal</t>
  </si>
  <si>
    <t>Paciente_1303</t>
  </si>
  <si>
    <t>M</t>
  </si>
  <si>
    <t>Mexico</t>
  </si>
  <si>
    <t>Municipio_28</t>
  </si>
  <si>
    <t>Diabetes</t>
  </si>
  <si>
    <t>Obesidad</t>
  </si>
  <si>
    <t>Dr_60</t>
  </si>
  <si>
    <t>Hospital_37</t>
  </si>
  <si>
    <t>Tratamiento base</t>
  </si>
  <si>
    <t>1 cada 12h</t>
  </si>
  <si>
    <t>Estable</t>
  </si>
  <si>
    <t>Medio</t>
  </si>
  <si>
    <t>Si</t>
  </si>
  <si>
    <t>No</t>
  </si>
  <si>
    <t>Alta</t>
  </si>
  <si>
    <t>Ninguna</t>
  </si>
  <si>
    <t>A+</t>
  </si>
  <si>
    <t>ISSSTE</t>
  </si>
  <si>
    <t>Paciente_1304</t>
  </si>
  <si>
    <t>Municipio_50</t>
  </si>
  <si>
    <t>Asma</t>
  </si>
  <si>
    <t>Dr_2</t>
  </si>
  <si>
    <t>Hospital_1</t>
  </si>
  <si>
    <t>Critico</t>
  </si>
  <si>
    <t>Media</t>
  </si>
  <si>
    <t>Paciente_1305</t>
  </si>
  <si>
    <t>Municipio_26</t>
  </si>
  <si>
    <t>Cardiopatia</t>
  </si>
  <si>
    <t>Dr_124</t>
  </si>
  <si>
    <t>Hospital_69</t>
  </si>
  <si>
    <t>Mejora</t>
  </si>
  <si>
    <t>Baja</t>
  </si>
  <si>
    <t>AB+</t>
  </si>
  <si>
    <t>N/A</t>
  </si>
  <si>
    <t>IMSS</t>
  </si>
  <si>
    <t>Observacion</t>
  </si>
  <si>
    <t>Paciente_1306</t>
  </si>
  <si>
    <t>Municipio_9</t>
  </si>
  <si>
    <t>Artritis</t>
  </si>
  <si>
    <t>Migraña</t>
  </si>
  <si>
    <t>Dr_27</t>
  </si>
  <si>
    <t>Hospital_72</t>
  </si>
  <si>
    <t>A-</t>
  </si>
  <si>
    <t>Publico</t>
  </si>
  <si>
    <t>Paciente_1307</t>
  </si>
  <si>
    <t>Municipio_24</t>
  </si>
  <si>
    <t>Hipertension</t>
  </si>
  <si>
    <t>Hospital_51</t>
  </si>
  <si>
    <t>Paciente_1308</t>
  </si>
  <si>
    <t>Municipio_4</t>
  </si>
  <si>
    <t>Dr_22</t>
  </si>
  <si>
    <t>Hospital_15</t>
  </si>
  <si>
    <t>O-</t>
  </si>
  <si>
    <t>Grave</t>
  </si>
  <si>
    <t>Paciente_1309</t>
  </si>
  <si>
    <t>F</t>
  </si>
  <si>
    <t>Municipio_21</t>
  </si>
  <si>
    <t>Dr_53</t>
  </si>
  <si>
    <t>Hospital_43</t>
  </si>
  <si>
    <t>Alto</t>
  </si>
  <si>
    <t>Paciente_1310</t>
  </si>
  <si>
    <t>Municipio_8</t>
  </si>
  <si>
    <t>Dr_41</t>
  </si>
  <si>
    <t>Hospital_13</t>
  </si>
  <si>
    <t>Bajo</t>
  </si>
  <si>
    <t>O+</t>
  </si>
  <si>
    <t>Privado</t>
  </si>
  <si>
    <t>Paciente_1311</t>
  </si>
  <si>
    <t>Municipio_13</t>
  </si>
  <si>
    <t>EPOC</t>
  </si>
  <si>
    <t>Dr_81</t>
  </si>
  <si>
    <t>Hospital_80</t>
  </si>
  <si>
    <t>Paciente_1312</t>
  </si>
  <si>
    <t>Municipio_37</t>
  </si>
  <si>
    <t>Dr_148</t>
  </si>
  <si>
    <t>Hospital_26</t>
  </si>
  <si>
    <t>B+</t>
  </si>
  <si>
    <t>Paciente_1313</t>
  </si>
  <si>
    <t>Municipio_32</t>
  </si>
  <si>
    <t>Dr_48</t>
  </si>
  <si>
    <t>Hospital_28</t>
  </si>
  <si>
    <t>Paciente_1314</t>
  </si>
  <si>
    <t>Dr_97</t>
  </si>
  <si>
    <t>Hospital_31</t>
  </si>
  <si>
    <t>Paciente_1315</t>
  </si>
  <si>
    <t>Municipio_31</t>
  </si>
  <si>
    <t>Dr_150</t>
  </si>
  <si>
    <t>Hospital_14</t>
  </si>
  <si>
    <t>Paciente_1316</t>
  </si>
  <si>
    <t>Municipio_47</t>
  </si>
  <si>
    <t>Dr_70</t>
  </si>
  <si>
    <t>Hospital_34</t>
  </si>
  <si>
    <t>Paciente_1317</t>
  </si>
  <si>
    <t>Municipio_10</t>
  </si>
  <si>
    <t>Dr_10</t>
  </si>
  <si>
    <t>Hospital_38</t>
  </si>
  <si>
    <t>Paciente_1318</t>
  </si>
  <si>
    <t>Municipio_12</t>
  </si>
  <si>
    <t>Dr_59</t>
  </si>
  <si>
    <t>Hospital_71</t>
  </si>
  <si>
    <t>Paciente_1319</t>
  </si>
  <si>
    <t>Municipio_35</t>
  </si>
  <si>
    <t>Dr_49</t>
  </si>
  <si>
    <t>Hospital_52</t>
  </si>
  <si>
    <t>Paciente_1320</t>
  </si>
  <si>
    <t>Dr_58</t>
  </si>
  <si>
    <t>Hospital_32</t>
  </si>
  <si>
    <t>Paciente_1321</t>
  </si>
  <si>
    <t>Municipio_44</t>
  </si>
  <si>
    <t>Dr_67</t>
  </si>
  <si>
    <t>Hospital_29</t>
  </si>
  <si>
    <t>Paciente_1322</t>
  </si>
  <si>
    <t>Dr_5</t>
  </si>
  <si>
    <t>Hospital_50</t>
  </si>
  <si>
    <t>Paciente_1323</t>
  </si>
  <si>
    <t>Municipio_25</t>
  </si>
  <si>
    <t>Dr_125</t>
  </si>
  <si>
    <t>Paciente_1324</t>
  </si>
  <si>
    <t>Municipio_18</t>
  </si>
  <si>
    <t>Dr_54</t>
  </si>
  <si>
    <t>Paciente_1325</t>
  </si>
  <si>
    <t>Dr_98</t>
  </si>
  <si>
    <t>Paciente_1326</t>
  </si>
  <si>
    <t>Municipio_16</t>
  </si>
  <si>
    <t>Dr_11</t>
  </si>
  <si>
    <t>Hospital_39</t>
  </si>
  <si>
    <t>Paciente_1327</t>
  </si>
  <si>
    <t>Municipio_45</t>
  </si>
  <si>
    <t>Dr_25</t>
  </si>
  <si>
    <t>Hospital_68</t>
  </si>
  <si>
    <t>Paciente_1328</t>
  </si>
  <si>
    <t>Municipio_22</t>
  </si>
  <si>
    <t>Dr_105</t>
  </si>
  <si>
    <t>Hospital_56</t>
  </si>
  <si>
    <t>Paciente_1329</t>
  </si>
  <si>
    <t>Municipio_38</t>
  </si>
  <si>
    <t>Dr_134</t>
  </si>
  <si>
    <t>Hospital_77</t>
  </si>
  <si>
    <t>Paciente_1330</t>
  </si>
  <si>
    <t>Municipio_14</t>
  </si>
  <si>
    <t>Dr_29</t>
  </si>
  <si>
    <t>Hospital_67</t>
  </si>
  <si>
    <t>Paciente_1331</t>
  </si>
  <si>
    <t>Dr_83</t>
  </si>
  <si>
    <t>Hospital_27</t>
  </si>
  <si>
    <t>Paciente_1332</t>
  </si>
  <si>
    <t>Municipio_15</t>
  </si>
  <si>
    <t>Dr_106</t>
  </si>
  <si>
    <t>Hospital_60</t>
  </si>
  <si>
    <t>Paciente_1333</t>
  </si>
  <si>
    <t>Dr_38</t>
  </si>
  <si>
    <t>Hospital_6</t>
  </si>
  <si>
    <t>Paciente_1334</t>
  </si>
  <si>
    <t>Municipio_6</t>
  </si>
  <si>
    <t>Dr_74</t>
  </si>
  <si>
    <t>Hospital_16</t>
  </si>
  <si>
    <t>Paciente_1335</t>
  </si>
  <si>
    <t>Dr_52</t>
  </si>
  <si>
    <t>Hospital_59</t>
  </si>
  <si>
    <t>Paciente_1336</t>
  </si>
  <si>
    <t>Hospital_78</t>
  </si>
  <si>
    <t>Paciente_1337</t>
  </si>
  <si>
    <t>Municipio_49</t>
  </si>
  <si>
    <t>Hospital_7</t>
  </si>
  <si>
    <t>Paciente_1338</t>
  </si>
  <si>
    <t>Dr_63</t>
  </si>
  <si>
    <t>Hospital_65</t>
  </si>
  <si>
    <t>Paciente_1339</t>
  </si>
  <si>
    <t>Municipio_39</t>
  </si>
  <si>
    <t>Dr_36</t>
  </si>
  <si>
    <t>Hospital_19</t>
  </si>
  <si>
    <t>Paciente_1340</t>
  </si>
  <si>
    <t>Municipio_34</t>
  </si>
  <si>
    <t>Paciente_1341</t>
  </si>
  <si>
    <t>Municipio_23</t>
  </si>
  <si>
    <t>Dr_84</t>
  </si>
  <si>
    <t>Hospital_66</t>
  </si>
  <si>
    <t>Paciente_1342</t>
  </si>
  <si>
    <t>Hospital_3</t>
  </si>
  <si>
    <t>Paciente_1343</t>
  </si>
  <si>
    <t>Municipio_7</t>
  </si>
  <si>
    <t>Dr_87</t>
  </si>
  <si>
    <t>Hospital_8</t>
  </si>
  <si>
    <t>Paciente_1344</t>
  </si>
  <si>
    <t>Dr_88</t>
  </si>
  <si>
    <t>Paciente_1345</t>
  </si>
  <si>
    <t>Dr_68</t>
  </si>
  <si>
    <t>Paciente_1346</t>
  </si>
  <si>
    <t>Dr_23</t>
  </si>
  <si>
    <t>Hospital_79</t>
  </si>
  <si>
    <t>Paciente_1347</t>
  </si>
  <si>
    <t>Municipio_11</t>
  </si>
  <si>
    <t>Dr_26</t>
  </si>
  <si>
    <t>Hospital_5</t>
  </si>
  <si>
    <t>Paciente_1348</t>
  </si>
  <si>
    <t>Municipio_17</t>
  </si>
  <si>
    <t>Paciente_1349</t>
  </si>
  <si>
    <t>Hospital_35</t>
  </si>
  <si>
    <t>Paciente_1350</t>
  </si>
  <si>
    <t>Dr_85</t>
  </si>
  <si>
    <t>Hospital_9</t>
  </si>
  <si>
    <t>Paciente_1351</t>
  </si>
  <si>
    <t>Hospital_49</t>
  </si>
  <si>
    <t>Paciente_1352</t>
  </si>
  <si>
    <t>Dr_137</t>
  </si>
  <si>
    <t>Hospital_76</t>
  </si>
  <si>
    <t>Paciente_1353</t>
  </si>
  <si>
    <t>Paciente_1354</t>
  </si>
  <si>
    <t>Dr_1</t>
  </si>
  <si>
    <t>Hospital_30</t>
  </si>
  <si>
    <t>Paciente_1355</t>
  </si>
  <si>
    <t>Dr_56</t>
  </si>
  <si>
    <t>Hospital_33</t>
  </si>
  <si>
    <t>Paciente_1356</t>
  </si>
  <si>
    <t>Municipio_2</t>
  </si>
  <si>
    <t>Dr_46</t>
  </si>
  <si>
    <t>Paciente_1357</t>
  </si>
  <si>
    <t>Dr_15</t>
  </si>
  <si>
    <t>Paciente_1358</t>
  </si>
  <si>
    <t>Municipio_36</t>
  </si>
  <si>
    <t>Dr_138</t>
  </si>
  <si>
    <t>Paciente_1359</t>
  </si>
  <si>
    <t>Municipio_33</t>
  </si>
  <si>
    <t>Dr_120</t>
  </si>
  <si>
    <t>Hospital_11</t>
  </si>
  <si>
    <t>Paciente_1360</t>
  </si>
  <si>
    <t>Dr_116</t>
  </si>
  <si>
    <t>Hospital_36</t>
  </si>
  <si>
    <t>Paciente_1361</t>
  </si>
  <si>
    <t>Hospital_48</t>
  </si>
  <si>
    <t>Paciente_1362</t>
  </si>
  <si>
    <t>Municipio_29</t>
  </si>
  <si>
    <t>Paciente_1363</t>
  </si>
  <si>
    <t>Municipio_5</t>
  </si>
  <si>
    <t>Dr_143</t>
  </si>
  <si>
    <t>Hospital_25</t>
  </si>
  <si>
    <t>Paciente_1364</t>
  </si>
  <si>
    <t>Hospital_57</t>
  </si>
  <si>
    <t>Paciente_1365</t>
  </si>
  <si>
    <t>Municipio_42</t>
  </si>
  <si>
    <t>Paciente_1366</t>
  </si>
  <si>
    <t>Dr_82</t>
  </si>
  <si>
    <t>Paciente_1367</t>
  </si>
  <si>
    <t>Municipio_19</t>
  </si>
  <si>
    <t>Dr_108</t>
  </si>
  <si>
    <t>Paciente_1368</t>
  </si>
  <si>
    <t>Paciente_1369</t>
  </si>
  <si>
    <t>Municipio_1</t>
  </si>
  <si>
    <t>Paciente_1370</t>
  </si>
  <si>
    <t>Dr_62</t>
  </si>
  <si>
    <t>Hospital_10</t>
  </si>
  <si>
    <t>Paciente_1371</t>
  </si>
  <si>
    <t>Dr_128</t>
  </si>
  <si>
    <t>Paciente_1372</t>
  </si>
  <si>
    <t>Municipio_43</t>
  </si>
  <si>
    <t>Paciente_1373</t>
  </si>
  <si>
    <t>Dr_7</t>
  </si>
  <si>
    <t>Hospital_18</t>
  </si>
  <si>
    <t>Paciente_1374</t>
  </si>
  <si>
    <t>Dr_118</t>
  </si>
  <si>
    <t>Paciente_1375</t>
  </si>
  <si>
    <t>Paciente_1376</t>
  </si>
  <si>
    <t>Hospital_55</t>
  </si>
  <si>
    <t>Paciente_1377</t>
  </si>
  <si>
    <t>Dr_57</t>
  </si>
  <si>
    <t>Paciente_1378</t>
  </si>
  <si>
    <t>Dr_39</t>
  </si>
  <si>
    <t>Paciente_1379</t>
  </si>
  <si>
    <t>Dr_139</t>
  </si>
  <si>
    <t>Hospital_53</t>
  </si>
  <si>
    <t>Paciente_1380</t>
  </si>
  <si>
    <t>Dr_102</t>
  </si>
  <si>
    <t>Paciente_1381</t>
  </si>
  <si>
    <t>Municipio_30</t>
  </si>
  <si>
    <t>Hospital_17</t>
  </si>
  <si>
    <t>Paciente_1382</t>
  </si>
  <si>
    <t>Hospital_24</t>
  </si>
  <si>
    <t>Paciente_1383</t>
  </si>
  <si>
    <t>Paciente_1384</t>
  </si>
  <si>
    <t>Dr_114</t>
  </si>
  <si>
    <t>Paciente_1385</t>
  </si>
  <si>
    <t>Dr_77</t>
  </si>
  <si>
    <t>Paciente_1386</t>
  </si>
  <si>
    <t>Paciente_1387</t>
  </si>
  <si>
    <t>Municipio_20</t>
  </si>
  <si>
    <t>Dr_146</t>
  </si>
  <si>
    <t>Paciente_1388</t>
  </si>
  <si>
    <t>Dr_117</t>
  </si>
  <si>
    <t>Paciente_1389</t>
  </si>
  <si>
    <t>Paciente_1390</t>
  </si>
  <si>
    <t>Municipio_46</t>
  </si>
  <si>
    <t>Dr_96</t>
  </si>
  <si>
    <t>Paciente_1391</t>
  </si>
  <si>
    <t>Dr_132</t>
  </si>
  <si>
    <t>Paciente_1392</t>
  </si>
  <si>
    <t>Paciente_1393</t>
  </si>
  <si>
    <t>Dr_79</t>
  </si>
  <si>
    <t>Paciente_1394</t>
  </si>
  <si>
    <t>Paciente_1395</t>
  </si>
  <si>
    <t>Municipio_3</t>
  </si>
  <si>
    <t>Dr_32</t>
  </si>
  <si>
    <t>presionMedia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</si>
</sst>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01"/>
  <sheetViews>
    <sheetView tabSelected="1" topLeftCell="G1" workbookViewId="0">
      <selection activeCell="K1" sqref="K1"/>
    </sheetView>
  </sheetViews>
  <sheetFormatPr baseColWidth="10" defaultColWidth="8.88671875" defaultRowHeight="14.4" x14ac:dyDescent="0.3"/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X1" t="s">
        <v>349</v>
      </c>
    </row>
    <row r="2" spans="1:51" x14ac:dyDescent="0.3">
      <c r="A2">
        <v>1303</v>
      </c>
      <c r="B2" t="s">
        <v>48</v>
      </c>
      <c r="C2">
        <v>53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>
        <v>54.7</v>
      </c>
      <c r="J2">
        <v>1.74</v>
      </c>
      <c r="K2">
        <v>18.100000000000001</v>
      </c>
      <c r="L2">
        <v>124</v>
      </c>
      <c r="M2">
        <v>65</v>
      </c>
      <c r="N2">
        <v>193</v>
      </c>
      <c r="O2">
        <v>245</v>
      </c>
      <c r="P2">
        <v>306</v>
      </c>
      <c r="Q2">
        <v>95</v>
      </c>
      <c r="R2">
        <v>99</v>
      </c>
      <c r="S2">
        <v>38.799999999999997</v>
      </c>
      <c r="T2" s="1">
        <v>45623</v>
      </c>
      <c r="U2" t="s">
        <v>54</v>
      </c>
      <c r="V2" t="s">
        <v>55</v>
      </c>
      <c r="W2" t="s">
        <v>56</v>
      </c>
      <c r="X2" t="s">
        <v>57</v>
      </c>
      <c r="Y2">
        <v>11</v>
      </c>
      <c r="Z2" t="s">
        <v>58</v>
      </c>
      <c r="AA2" t="s">
        <v>59</v>
      </c>
      <c r="AB2" s="1">
        <v>45319</v>
      </c>
      <c r="AC2" t="s">
        <v>60</v>
      </c>
      <c r="AD2" t="s">
        <v>61</v>
      </c>
      <c r="AE2" t="s">
        <v>62</v>
      </c>
      <c r="AF2" t="s">
        <v>63</v>
      </c>
      <c r="AG2" t="s">
        <v>64</v>
      </c>
      <c r="AH2" t="s">
        <v>60</v>
      </c>
      <c r="AI2" t="s">
        <v>60</v>
      </c>
      <c r="AJ2" t="s">
        <v>61</v>
      </c>
      <c r="AL2">
        <v>784.82</v>
      </c>
      <c r="AM2">
        <v>1534.82</v>
      </c>
      <c r="AN2">
        <v>1096.81</v>
      </c>
      <c r="AO2">
        <v>0</v>
      </c>
      <c r="AP2">
        <v>2631.63</v>
      </c>
      <c r="AQ2" t="s">
        <v>65</v>
      </c>
      <c r="AR2" t="s">
        <v>60</v>
      </c>
      <c r="AS2" t="s">
        <v>61</v>
      </c>
      <c r="AT2" t="s">
        <v>58</v>
      </c>
      <c r="AU2">
        <v>5</v>
      </c>
      <c r="AV2" t="s">
        <v>50</v>
      </c>
      <c r="AW2" s="3"/>
      <c r="AX2" s="3" cm="1">
        <f t="array" ref="AX2:AX94">L2:L94*M2:M94</f>
        <v>8060</v>
      </c>
      <c r="AY2" s="3"/>
    </row>
    <row r="3" spans="1:51" x14ac:dyDescent="0.3">
      <c r="A3">
        <v>1304</v>
      </c>
      <c r="B3" t="s">
        <v>66</v>
      </c>
      <c r="C3">
        <v>5</v>
      </c>
      <c r="D3" t="s">
        <v>49</v>
      </c>
      <c r="E3" t="s">
        <v>50</v>
      </c>
      <c r="F3" t="s">
        <v>67</v>
      </c>
      <c r="G3" t="s">
        <v>68</v>
      </c>
      <c r="H3" t="s">
        <v>53</v>
      </c>
      <c r="I3">
        <v>68.5</v>
      </c>
      <c r="J3">
        <v>1.01</v>
      </c>
      <c r="K3">
        <v>67.2</v>
      </c>
      <c r="L3">
        <v>122</v>
      </c>
      <c r="M3">
        <v>97</v>
      </c>
      <c r="N3">
        <v>190</v>
      </c>
      <c r="O3">
        <v>159</v>
      </c>
      <c r="P3">
        <v>303</v>
      </c>
      <c r="Q3">
        <v>102</v>
      </c>
      <c r="R3">
        <v>95</v>
      </c>
      <c r="S3">
        <v>37.4</v>
      </c>
      <c r="T3" s="1">
        <v>45356</v>
      </c>
      <c r="U3" t="s">
        <v>69</v>
      </c>
      <c r="V3" t="s">
        <v>70</v>
      </c>
      <c r="W3" t="s">
        <v>56</v>
      </c>
      <c r="X3" t="s">
        <v>57</v>
      </c>
      <c r="Y3">
        <v>8</v>
      </c>
      <c r="Z3" t="s">
        <v>71</v>
      </c>
      <c r="AA3" t="s">
        <v>59</v>
      </c>
      <c r="AB3" s="1">
        <v>45403</v>
      </c>
      <c r="AC3" t="s">
        <v>60</v>
      </c>
      <c r="AD3" t="s">
        <v>60</v>
      </c>
      <c r="AE3" t="s">
        <v>72</v>
      </c>
      <c r="AF3" t="s">
        <v>63</v>
      </c>
      <c r="AG3" t="s">
        <v>64</v>
      </c>
      <c r="AH3" t="s">
        <v>61</v>
      </c>
      <c r="AI3" t="s">
        <v>61</v>
      </c>
      <c r="AJ3" t="s">
        <v>61</v>
      </c>
      <c r="AL3">
        <v>370.43</v>
      </c>
      <c r="AM3">
        <v>327.38</v>
      </c>
      <c r="AN3">
        <v>1772.81</v>
      </c>
      <c r="AO3">
        <v>0</v>
      </c>
      <c r="AP3">
        <v>2100.19</v>
      </c>
      <c r="AQ3" t="s">
        <v>65</v>
      </c>
      <c r="AR3" t="s">
        <v>61</v>
      </c>
      <c r="AS3" t="s">
        <v>60</v>
      </c>
      <c r="AT3" t="s">
        <v>58</v>
      </c>
      <c r="AU3">
        <v>2</v>
      </c>
      <c r="AV3" t="s">
        <v>50</v>
      </c>
      <c r="AW3" s="3"/>
      <c r="AX3" s="3">
        <v>11834</v>
      </c>
      <c r="AY3" s="3"/>
    </row>
    <row r="4" spans="1:51" x14ac:dyDescent="0.3">
      <c r="A4">
        <v>1305</v>
      </c>
      <c r="B4" t="s">
        <v>73</v>
      </c>
      <c r="C4">
        <v>32</v>
      </c>
      <c r="D4" t="s">
        <v>49</v>
      </c>
      <c r="E4" t="s">
        <v>50</v>
      </c>
      <c r="F4" t="s">
        <v>74</v>
      </c>
      <c r="G4" t="s">
        <v>75</v>
      </c>
      <c r="H4" t="s">
        <v>53</v>
      </c>
      <c r="I4">
        <v>64.400000000000006</v>
      </c>
      <c r="J4">
        <v>1.85</v>
      </c>
      <c r="K4">
        <v>18.8</v>
      </c>
      <c r="L4">
        <v>96</v>
      </c>
      <c r="M4">
        <v>71</v>
      </c>
      <c r="N4">
        <v>175</v>
      </c>
      <c r="O4">
        <v>142</v>
      </c>
      <c r="P4">
        <v>313</v>
      </c>
      <c r="Q4">
        <v>103</v>
      </c>
      <c r="R4">
        <v>95</v>
      </c>
      <c r="S4">
        <v>38.6</v>
      </c>
      <c r="T4" s="1">
        <v>45356</v>
      </c>
      <c r="U4" t="s">
        <v>76</v>
      </c>
      <c r="V4" t="s">
        <v>77</v>
      </c>
      <c r="W4" t="s">
        <v>56</v>
      </c>
      <c r="X4" t="s">
        <v>57</v>
      </c>
      <c r="Y4">
        <v>17</v>
      </c>
      <c r="Z4" t="s">
        <v>78</v>
      </c>
      <c r="AA4" t="s">
        <v>59</v>
      </c>
      <c r="AB4" s="1">
        <v>45550</v>
      </c>
      <c r="AC4" t="s">
        <v>61</v>
      </c>
      <c r="AD4" t="s">
        <v>60</v>
      </c>
      <c r="AE4" t="s">
        <v>79</v>
      </c>
      <c r="AF4" t="s">
        <v>63</v>
      </c>
      <c r="AG4" t="s">
        <v>80</v>
      </c>
      <c r="AH4" t="s">
        <v>81</v>
      </c>
      <c r="AI4" t="s">
        <v>61</v>
      </c>
      <c r="AJ4" t="s">
        <v>60</v>
      </c>
      <c r="AL4">
        <v>416.07</v>
      </c>
      <c r="AM4">
        <v>1109.24</v>
      </c>
      <c r="AN4">
        <v>802.16</v>
      </c>
      <c r="AO4">
        <v>0</v>
      </c>
      <c r="AP4">
        <v>1911.4</v>
      </c>
      <c r="AQ4" t="s">
        <v>82</v>
      </c>
      <c r="AR4" t="s">
        <v>61</v>
      </c>
      <c r="AS4" t="s">
        <v>60</v>
      </c>
      <c r="AT4" t="s">
        <v>83</v>
      </c>
      <c r="AU4">
        <v>5</v>
      </c>
      <c r="AV4" t="s">
        <v>50</v>
      </c>
      <c r="AW4" s="3"/>
      <c r="AX4" s="3">
        <v>6816</v>
      </c>
      <c r="AY4" s="3"/>
    </row>
    <row r="5" spans="1:51" x14ac:dyDescent="0.3">
      <c r="A5">
        <v>1306</v>
      </c>
      <c r="B5" t="s">
        <v>84</v>
      </c>
      <c r="C5">
        <v>62</v>
      </c>
      <c r="D5" t="s">
        <v>49</v>
      </c>
      <c r="E5" t="s">
        <v>50</v>
      </c>
      <c r="F5" t="s">
        <v>85</v>
      </c>
      <c r="G5" t="s">
        <v>86</v>
      </c>
      <c r="H5" t="s">
        <v>87</v>
      </c>
      <c r="I5">
        <v>63.1</v>
      </c>
      <c r="J5">
        <v>1.36</v>
      </c>
      <c r="K5">
        <v>34.1</v>
      </c>
      <c r="L5">
        <v>100</v>
      </c>
      <c r="M5">
        <v>72</v>
      </c>
      <c r="N5">
        <v>108</v>
      </c>
      <c r="O5">
        <v>172</v>
      </c>
      <c r="P5">
        <v>346</v>
      </c>
      <c r="Q5">
        <v>107</v>
      </c>
      <c r="R5">
        <v>96</v>
      </c>
      <c r="S5">
        <v>36.9</v>
      </c>
      <c r="T5" s="1">
        <v>45548</v>
      </c>
      <c r="U5" t="s">
        <v>88</v>
      </c>
      <c r="V5" t="s">
        <v>89</v>
      </c>
      <c r="W5" t="s">
        <v>56</v>
      </c>
      <c r="X5" t="s">
        <v>57</v>
      </c>
      <c r="Y5">
        <v>21</v>
      </c>
      <c r="Z5" t="s">
        <v>71</v>
      </c>
      <c r="AA5" t="s">
        <v>59</v>
      </c>
      <c r="AB5" s="1">
        <v>45582</v>
      </c>
      <c r="AC5" t="s">
        <v>61</v>
      </c>
      <c r="AD5" t="s">
        <v>61</v>
      </c>
      <c r="AE5" t="s">
        <v>62</v>
      </c>
      <c r="AF5" t="s">
        <v>63</v>
      </c>
      <c r="AG5" t="s">
        <v>90</v>
      </c>
      <c r="AH5" t="s">
        <v>61</v>
      </c>
      <c r="AI5" t="s">
        <v>60</v>
      </c>
      <c r="AJ5" t="s">
        <v>60</v>
      </c>
      <c r="AL5">
        <v>1061.03</v>
      </c>
      <c r="AM5">
        <v>1410.61</v>
      </c>
      <c r="AN5">
        <v>1976.7</v>
      </c>
      <c r="AO5">
        <v>0</v>
      </c>
      <c r="AP5">
        <v>3387.31</v>
      </c>
      <c r="AQ5" t="s">
        <v>91</v>
      </c>
      <c r="AR5" t="s">
        <v>61</v>
      </c>
      <c r="AS5" t="s">
        <v>61</v>
      </c>
      <c r="AT5" t="s">
        <v>58</v>
      </c>
      <c r="AU5">
        <v>1</v>
      </c>
      <c r="AV5" t="s">
        <v>50</v>
      </c>
      <c r="AX5">
        <v>7200</v>
      </c>
    </row>
    <row r="6" spans="1:51" x14ac:dyDescent="0.3">
      <c r="A6">
        <v>1307</v>
      </c>
      <c r="B6" t="s">
        <v>92</v>
      </c>
      <c r="C6">
        <v>52</v>
      </c>
      <c r="D6" t="s">
        <v>49</v>
      </c>
      <c r="E6" t="s">
        <v>50</v>
      </c>
      <c r="F6" t="s">
        <v>93</v>
      </c>
      <c r="G6" t="s">
        <v>94</v>
      </c>
      <c r="H6" t="s">
        <v>86</v>
      </c>
      <c r="I6">
        <v>119.3</v>
      </c>
      <c r="J6">
        <v>1.54</v>
      </c>
      <c r="K6">
        <v>50.3</v>
      </c>
      <c r="L6">
        <v>149</v>
      </c>
      <c r="M6">
        <v>80</v>
      </c>
      <c r="N6">
        <v>227</v>
      </c>
      <c r="O6">
        <v>134</v>
      </c>
      <c r="P6">
        <v>181</v>
      </c>
      <c r="Q6">
        <v>78</v>
      </c>
      <c r="R6">
        <v>98</v>
      </c>
      <c r="S6">
        <v>37.4</v>
      </c>
      <c r="T6" s="1">
        <v>45437</v>
      </c>
      <c r="U6" t="s">
        <v>54</v>
      </c>
      <c r="V6" t="s">
        <v>95</v>
      </c>
      <c r="W6" t="s">
        <v>56</v>
      </c>
      <c r="X6" t="s">
        <v>57</v>
      </c>
      <c r="Y6">
        <v>21</v>
      </c>
      <c r="Z6" t="s">
        <v>58</v>
      </c>
      <c r="AA6" t="s">
        <v>59</v>
      </c>
      <c r="AB6" s="1">
        <v>45621</v>
      </c>
      <c r="AC6" t="s">
        <v>60</v>
      </c>
      <c r="AD6" t="s">
        <v>60</v>
      </c>
      <c r="AE6" t="s">
        <v>79</v>
      </c>
      <c r="AF6" t="s">
        <v>63</v>
      </c>
      <c r="AG6" t="s">
        <v>64</v>
      </c>
      <c r="AH6" t="s">
        <v>60</v>
      </c>
      <c r="AI6" t="s">
        <v>61</v>
      </c>
      <c r="AJ6" t="s">
        <v>60</v>
      </c>
      <c r="AL6">
        <v>711.2</v>
      </c>
      <c r="AM6">
        <v>823.57</v>
      </c>
      <c r="AN6">
        <v>1184.33</v>
      </c>
      <c r="AO6">
        <v>0</v>
      </c>
      <c r="AP6">
        <v>2007.9</v>
      </c>
      <c r="AQ6" t="s">
        <v>91</v>
      </c>
      <c r="AR6" t="s">
        <v>61</v>
      </c>
      <c r="AS6" t="s">
        <v>61</v>
      </c>
      <c r="AT6" t="s">
        <v>83</v>
      </c>
      <c r="AU6">
        <v>2</v>
      </c>
      <c r="AV6" t="s">
        <v>50</v>
      </c>
      <c r="AX6">
        <v>11920</v>
      </c>
    </row>
    <row r="7" spans="1:51" x14ac:dyDescent="0.3">
      <c r="A7">
        <v>1308</v>
      </c>
      <c r="B7" t="s">
        <v>96</v>
      </c>
      <c r="C7">
        <v>46</v>
      </c>
      <c r="D7" t="s">
        <v>49</v>
      </c>
      <c r="E7" t="s">
        <v>50</v>
      </c>
      <c r="F7" t="s">
        <v>97</v>
      </c>
      <c r="G7" t="s">
        <v>53</v>
      </c>
      <c r="H7" t="s">
        <v>87</v>
      </c>
      <c r="I7">
        <v>50.5</v>
      </c>
      <c r="J7">
        <v>1.83</v>
      </c>
      <c r="K7">
        <v>15.1</v>
      </c>
      <c r="L7">
        <v>139</v>
      </c>
      <c r="M7">
        <v>64</v>
      </c>
      <c r="N7">
        <v>120</v>
      </c>
      <c r="O7">
        <v>187</v>
      </c>
      <c r="P7">
        <v>334</v>
      </c>
      <c r="Q7">
        <v>60</v>
      </c>
      <c r="R7">
        <v>94</v>
      </c>
      <c r="S7">
        <v>37.700000000000003</v>
      </c>
      <c r="T7" s="1">
        <v>45558</v>
      </c>
      <c r="U7" t="s">
        <v>98</v>
      </c>
      <c r="V7" t="s">
        <v>99</v>
      </c>
      <c r="W7" t="s">
        <v>56</v>
      </c>
      <c r="X7" t="s">
        <v>57</v>
      </c>
      <c r="Y7">
        <v>17</v>
      </c>
      <c r="Z7" t="s">
        <v>78</v>
      </c>
      <c r="AA7" t="s">
        <v>59</v>
      </c>
      <c r="AB7" s="1">
        <v>45353</v>
      </c>
      <c r="AC7" t="s">
        <v>60</v>
      </c>
      <c r="AD7" t="s">
        <v>61</v>
      </c>
      <c r="AE7" t="s">
        <v>72</v>
      </c>
      <c r="AF7" t="s">
        <v>63</v>
      </c>
      <c r="AG7" t="s">
        <v>100</v>
      </c>
      <c r="AH7" t="s">
        <v>60</v>
      </c>
      <c r="AI7" t="s">
        <v>61</v>
      </c>
      <c r="AJ7" t="s">
        <v>61</v>
      </c>
      <c r="AL7">
        <v>1423.51</v>
      </c>
      <c r="AM7">
        <v>1682.04</v>
      </c>
      <c r="AN7">
        <v>1937.76</v>
      </c>
      <c r="AO7">
        <v>0</v>
      </c>
      <c r="AP7">
        <v>3619.8</v>
      </c>
      <c r="AQ7" t="s">
        <v>91</v>
      </c>
      <c r="AR7" t="s">
        <v>61</v>
      </c>
      <c r="AS7" t="s">
        <v>61</v>
      </c>
      <c r="AT7" t="s">
        <v>101</v>
      </c>
      <c r="AU7">
        <v>5</v>
      </c>
      <c r="AV7" t="s">
        <v>50</v>
      </c>
      <c r="AX7">
        <v>8896</v>
      </c>
    </row>
    <row r="8" spans="1:51" x14ac:dyDescent="0.3">
      <c r="A8">
        <v>1309</v>
      </c>
      <c r="B8" t="s">
        <v>102</v>
      </c>
      <c r="C8">
        <v>45</v>
      </c>
      <c r="D8" t="s">
        <v>103</v>
      </c>
      <c r="E8" t="s">
        <v>50</v>
      </c>
      <c r="F8" t="s">
        <v>104</v>
      </c>
      <c r="G8" t="s">
        <v>53</v>
      </c>
      <c r="H8" t="s">
        <v>68</v>
      </c>
      <c r="I8">
        <v>51.2</v>
      </c>
      <c r="J8">
        <v>1.1000000000000001</v>
      </c>
      <c r="K8">
        <v>42.3</v>
      </c>
      <c r="L8">
        <v>143</v>
      </c>
      <c r="M8">
        <v>94</v>
      </c>
      <c r="N8">
        <v>239</v>
      </c>
      <c r="O8">
        <v>126</v>
      </c>
      <c r="P8">
        <v>320</v>
      </c>
      <c r="Q8">
        <v>78</v>
      </c>
      <c r="R8">
        <v>100</v>
      </c>
      <c r="S8">
        <v>38.4</v>
      </c>
      <c r="T8" s="1">
        <v>45471</v>
      </c>
      <c r="U8" t="s">
        <v>105</v>
      </c>
      <c r="V8" t="s">
        <v>106</v>
      </c>
      <c r="W8" t="s">
        <v>56</v>
      </c>
      <c r="X8" t="s">
        <v>57</v>
      </c>
      <c r="Y8">
        <v>22</v>
      </c>
      <c r="Z8" t="s">
        <v>71</v>
      </c>
      <c r="AA8" t="s">
        <v>107</v>
      </c>
      <c r="AB8" s="1">
        <v>45363</v>
      </c>
      <c r="AC8" t="s">
        <v>60</v>
      </c>
      <c r="AD8" t="s">
        <v>61</v>
      </c>
      <c r="AE8" t="s">
        <v>62</v>
      </c>
      <c r="AF8" t="s">
        <v>63</v>
      </c>
      <c r="AG8" t="s">
        <v>80</v>
      </c>
      <c r="AH8" t="s">
        <v>61</v>
      </c>
      <c r="AI8" t="s">
        <v>61</v>
      </c>
      <c r="AJ8" t="s">
        <v>61</v>
      </c>
      <c r="AL8">
        <v>1278.23</v>
      </c>
      <c r="AM8">
        <v>1573.8</v>
      </c>
      <c r="AN8">
        <v>2546.87</v>
      </c>
      <c r="AO8">
        <v>0</v>
      </c>
      <c r="AP8">
        <v>4120.67</v>
      </c>
      <c r="AQ8" t="s">
        <v>91</v>
      </c>
      <c r="AR8" t="s">
        <v>61</v>
      </c>
      <c r="AS8" t="s">
        <v>60</v>
      </c>
      <c r="AT8" t="s">
        <v>58</v>
      </c>
      <c r="AU8">
        <v>3</v>
      </c>
      <c r="AV8" t="s">
        <v>50</v>
      </c>
      <c r="AX8">
        <v>13442</v>
      </c>
    </row>
    <row r="9" spans="1:51" x14ac:dyDescent="0.3">
      <c r="A9">
        <v>1310</v>
      </c>
      <c r="B9" t="s">
        <v>108</v>
      </c>
      <c r="C9">
        <v>15</v>
      </c>
      <c r="D9" t="s">
        <v>103</v>
      </c>
      <c r="E9" t="s">
        <v>50</v>
      </c>
      <c r="F9" t="s">
        <v>109</v>
      </c>
      <c r="G9" t="s">
        <v>86</v>
      </c>
      <c r="H9" t="s">
        <v>53</v>
      </c>
      <c r="I9">
        <v>42.8</v>
      </c>
      <c r="J9">
        <v>1.41</v>
      </c>
      <c r="K9">
        <v>21.5</v>
      </c>
      <c r="L9">
        <v>125</v>
      </c>
      <c r="M9">
        <v>78</v>
      </c>
      <c r="N9">
        <v>154</v>
      </c>
      <c r="O9">
        <v>137</v>
      </c>
      <c r="P9">
        <v>261</v>
      </c>
      <c r="Q9">
        <v>89</v>
      </c>
      <c r="R9">
        <v>98</v>
      </c>
      <c r="S9">
        <v>39.200000000000003</v>
      </c>
      <c r="T9" s="1">
        <v>45463</v>
      </c>
      <c r="U9" t="s">
        <v>110</v>
      </c>
      <c r="V9" t="s">
        <v>111</v>
      </c>
      <c r="W9" t="s">
        <v>56</v>
      </c>
      <c r="X9" t="s">
        <v>57</v>
      </c>
      <c r="Y9">
        <v>9</v>
      </c>
      <c r="Z9" t="s">
        <v>71</v>
      </c>
      <c r="AA9" t="s">
        <v>112</v>
      </c>
      <c r="AB9" s="1">
        <v>45580</v>
      </c>
      <c r="AC9" t="s">
        <v>60</v>
      </c>
      <c r="AD9" t="s">
        <v>61</v>
      </c>
      <c r="AE9" t="s">
        <v>72</v>
      </c>
      <c r="AF9" t="s">
        <v>63</v>
      </c>
      <c r="AG9" t="s">
        <v>113</v>
      </c>
      <c r="AH9" t="s">
        <v>81</v>
      </c>
      <c r="AI9" t="s">
        <v>60</v>
      </c>
      <c r="AJ9" t="s">
        <v>60</v>
      </c>
      <c r="AL9">
        <v>1334.86</v>
      </c>
      <c r="AM9">
        <v>1073.54</v>
      </c>
      <c r="AN9">
        <v>2194.02</v>
      </c>
      <c r="AO9">
        <v>0</v>
      </c>
      <c r="AP9">
        <v>3267.56</v>
      </c>
      <c r="AQ9" t="s">
        <v>114</v>
      </c>
      <c r="AR9" t="s">
        <v>61</v>
      </c>
      <c r="AS9" t="s">
        <v>61</v>
      </c>
      <c r="AT9" t="s">
        <v>83</v>
      </c>
      <c r="AU9">
        <v>3</v>
      </c>
      <c r="AV9" t="s">
        <v>50</v>
      </c>
      <c r="AX9">
        <v>9750</v>
      </c>
    </row>
    <row r="10" spans="1:51" x14ac:dyDescent="0.3">
      <c r="A10">
        <v>1311</v>
      </c>
      <c r="B10" t="s">
        <v>115</v>
      </c>
      <c r="C10">
        <v>31</v>
      </c>
      <c r="D10" t="s">
        <v>103</v>
      </c>
      <c r="E10" t="s">
        <v>50</v>
      </c>
      <c r="F10" t="s">
        <v>116</v>
      </c>
      <c r="G10" t="s">
        <v>87</v>
      </c>
      <c r="H10" t="s">
        <v>117</v>
      </c>
      <c r="I10">
        <v>92.6</v>
      </c>
      <c r="J10">
        <v>1.68</v>
      </c>
      <c r="K10">
        <v>32.799999999999997</v>
      </c>
      <c r="L10">
        <v>92</v>
      </c>
      <c r="M10">
        <v>80</v>
      </c>
      <c r="N10">
        <v>194</v>
      </c>
      <c r="O10">
        <v>205</v>
      </c>
      <c r="P10">
        <v>125</v>
      </c>
      <c r="Q10">
        <v>60</v>
      </c>
      <c r="R10">
        <v>94</v>
      </c>
      <c r="S10">
        <v>35.700000000000003</v>
      </c>
      <c r="T10" s="1">
        <v>45395</v>
      </c>
      <c r="U10" t="s">
        <v>118</v>
      </c>
      <c r="V10" t="s">
        <v>119</v>
      </c>
      <c r="W10" t="s">
        <v>56</v>
      </c>
      <c r="X10" t="s">
        <v>57</v>
      </c>
      <c r="Y10">
        <v>26</v>
      </c>
      <c r="Z10" t="s">
        <v>58</v>
      </c>
      <c r="AA10" t="s">
        <v>112</v>
      </c>
      <c r="AB10" s="1">
        <v>45309</v>
      </c>
      <c r="AC10" t="s">
        <v>61</v>
      </c>
      <c r="AD10" t="s">
        <v>60</v>
      </c>
      <c r="AE10" t="s">
        <v>62</v>
      </c>
      <c r="AF10" t="s">
        <v>63</v>
      </c>
      <c r="AG10" t="s">
        <v>100</v>
      </c>
      <c r="AH10" t="s">
        <v>61</v>
      </c>
      <c r="AI10" t="s">
        <v>60</v>
      </c>
      <c r="AJ10" t="s">
        <v>61</v>
      </c>
      <c r="AL10">
        <v>314.18</v>
      </c>
      <c r="AM10">
        <v>1887.28</v>
      </c>
      <c r="AN10">
        <v>1873.03</v>
      </c>
      <c r="AO10">
        <v>0</v>
      </c>
      <c r="AP10">
        <v>3760.31</v>
      </c>
      <c r="AQ10" t="s">
        <v>91</v>
      </c>
      <c r="AR10" t="s">
        <v>61</v>
      </c>
      <c r="AS10" t="s">
        <v>60</v>
      </c>
      <c r="AT10" t="s">
        <v>83</v>
      </c>
      <c r="AU10">
        <v>3</v>
      </c>
      <c r="AV10" t="s">
        <v>50</v>
      </c>
      <c r="AX10">
        <v>7360</v>
      </c>
    </row>
    <row r="11" spans="1:51" x14ac:dyDescent="0.3">
      <c r="A11">
        <v>1312</v>
      </c>
      <c r="B11" t="s">
        <v>120</v>
      </c>
      <c r="C11">
        <v>57</v>
      </c>
      <c r="D11" t="s">
        <v>49</v>
      </c>
      <c r="E11" t="s">
        <v>50</v>
      </c>
      <c r="F11" t="s">
        <v>121</v>
      </c>
      <c r="G11" t="s">
        <v>52</v>
      </c>
      <c r="H11" t="s">
        <v>68</v>
      </c>
      <c r="I11">
        <v>103.7</v>
      </c>
      <c r="J11">
        <v>1.55</v>
      </c>
      <c r="K11">
        <v>43.2</v>
      </c>
      <c r="L11">
        <v>118</v>
      </c>
      <c r="M11">
        <v>99</v>
      </c>
      <c r="N11">
        <v>226</v>
      </c>
      <c r="O11">
        <v>124</v>
      </c>
      <c r="P11">
        <v>302</v>
      </c>
      <c r="Q11">
        <v>99</v>
      </c>
      <c r="R11">
        <v>96</v>
      </c>
      <c r="S11">
        <v>38.6</v>
      </c>
      <c r="T11" s="1">
        <v>45616</v>
      </c>
      <c r="U11" t="s">
        <v>122</v>
      </c>
      <c r="V11" t="s">
        <v>123</v>
      </c>
      <c r="W11" t="s">
        <v>56</v>
      </c>
      <c r="X11" t="s">
        <v>57</v>
      </c>
      <c r="Y11">
        <v>18</v>
      </c>
      <c r="Z11" t="s">
        <v>78</v>
      </c>
      <c r="AA11" t="s">
        <v>107</v>
      </c>
      <c r="AB11" s="1">
        <v>45563</v>
      </c>
      <c r="AC11" t="s">
        <v>61</v>
      </c>
      <c r="AD11" t="s">
        <v>60</v>
      </c>
      <c r="AE11" t="s">
        <v>72</v>
      </c>
      <c r="AF11" t="s">
        <v>63</v>
      </c>
      <c r="AG11" t="s">
        <v>124</v>
      </c>
      <c r="AH11" t="s">
        <v>61</v>
      </c>
      <c r="AI11" t="s">
        <v>60</v>
      </c>
      <c r="AJ11" t="s">
        <v>61</v>
      </c>
      <c r="AL11">
        <v>905.37</v>
      </c>
      <c r="AM11">
        <v>1465.11</v>
      </c>
      <c r="AN11">
        <v>1975.04</v>
      </c>
      <c r="AO11">
        <v>0</v>
      </c>
      <c r="AP11">
        <v>3440.15</v>
      </c>
      <c r="AQ11" t="s">
        <v>65</v>
      </c>
      <c r="AR11" t="s">
        <v>61</v>
      </c>
      <c r="AS11" t="s">
        <v>61</v>
      </c>
      <c r="AT11" t="s">
        <v>101</v>
      </c>
      <c r="AU11">
        <v>5</v>
      </c>
      <c r="AV11" t="s">
        <v>50</v>
      </c>
      <c r="AX11">
        <v>11682</v>
      </c>
    </row>
    <row r="12" spans="1:51" x14ac:dyDescent="0.3">
      <c r="A12">
        <v>1313</v>
      </c>
      <c r="B12" t="s">
        <v>125</v>
      </c>
      <c r="C12">
        <v>14</v>
      </c>
      <c r="D12" t="s">
        <v>103</v>
      </c>
      <c r="E12" t="s">
        <v>50</v>
      </c>
      <c r="F12" t="s">
        <v>126</v>
      </c>
      <c r="G12" t="s">
        <v>117</v>
      </c>
      <c r="H12" t="s">
        <v>68</v>
      </c>
      <c r="I12">
        <v>60.7</v>
      </c>
      <c r="J12">
        <v>1.32</v>
      </c>
      <c r="K12">
        <v>34.799999999999997</v>
      </c>
      <c r="L12">
        <v>126</v>
      </c>
      <c r="M12">
        <v>89</v>
      </c>
      <c r="N12">
        <v>151</v>
      </c>
      <c r="O12">
        <v>273</v>
      </c>
      <c r="P12">
        <v>300</v>
      </c>
      <c r="Q12">
        <v>108</v>
      </c>
      <c r="R12">
        <v>93</v>
      </c>
      <c r="S12">
        <v>37.799999999999997</v>
      </c>
      <c r="T12" s="1">
        <v>45301</v>
      </c>
      <c r="U12" t="s">
        <v>127</v>
      </c>
      <c r="V12" t="s">
        <v>128</v>
      </c>
      <c r="W12" t="s">
        <v>56</v>
      </c>
      <c r="X12" t="s">
        <v>57</v>
      </c>
      <c r="Y12">
        <v>30</v>
      </c>
      <c r="Z12" t="s">
        <v>78</v>
      </c>
      <c r="AA12" t="s">
        <v>107</v>
      </c>
      <c r="AB12" s="1">
        <v>45565</v>
      </c>
      <c r="AC12" t="s">
        <v>61</v>
      </c>
      <c r="AD12" t="s">
        <v>61</v>
      </c>
      <c r="AE12" t="s">
        <v>79</v>
      </c>
      <c r="AF12" t="s">
        <v>63</v>
      </c>
      <c r="AG12" t="s">
        <v>113</v>
      </c>
      <c r="AH12" t="s">
        <v>61</v>
      </c>
      <c r="AI12" t="s">
        <v>61</v>
      </c>
      <c r="AJ12" t="s">
        <v>60</v>
      </c>
      <c r="AL12">
        <v>510.86</v>
      </c>
      <c r="AM12">
        <v>1348.13</v>
      </c>
      <c r="AN12">
        <v>2367.39</v>
      </c>
      <c r="AO12">
        <v>0</v>
      </c>
      <c r="AP12">
        <v>3715.52</v>
      </c>
      <c r="AQ12" t="s">
        <v>114</v>
      </c>
      <c r="AR12" t="s">
        <v>60</v>
      </c>
      <c r="AS12" t="s">
        <v>61</v>
      </c>
      <c r="AT12" t="s">
        <v>58</v>
      </c>
      <c r="AU12">
        <v>5</v>
      </c>
      <c r="AV12" t="s">
        <v>50</v>
      </c>
      <c r="AX12">
        <v>11214</v>
      </c>
    </row>
    <row r="13" spans="1:51" x14ac:dyDescent="0.3">
      <c r="A13">
        <v>1314</v>
      </c>
      <c r="B13" t="s">
        <v>129</v>
      </c>
      <c r="C13">
        <v>20</v>
      </c>
      <c r="D13" t="s">
        <v>49</v>
      </c>
      <c r="E13" t="s">
        <v>50</v>
      </c>
      <c r="F13" t="s">
        <v>97</v>
      </c>
      <c r="G13" t="s">
        <v>52</v>
      </c>
      <c r="H13" t="s">
        <v>94</v>
      </c>
      <c r="I13">
        <v>79.7</v>
      </c>
      <c r="J13">
        <v>1.1000000000000001</v>
      </c>
      <c r="K13">
        <v>65.900000000000006</v>
      </c>
      <c r="L13">
        <v>97</v>
      </c>
      <c r="M13">
        <v>78</v>
      </c>
      <c r="N13">
        <v>174</v>
      </c>
      <c r="O13">
        <v>269</v>
      </c>
      <c r="P13">
        <v>216</v>
      </c>
      <c r="Q13">
        <v>93</v>
      </c>
      <c r="R13">
        <v>94</v>
      </c>
      <c r="S13">
        <v>36.1</v>
      </c>
      <c r="T13" s="1">
        <v>45440</v>
      </c>
      <c r="U13" t="s">
        <v>130</v>
      </c>
      <c r="V13" t="s">
        <v>131</v>
      </c>
      <c r="W13" t="s">
        <v>56</v>
      </c>
      <c r="X13" t="s">
        <v>57</v>
      </c>
      <c r="Y13">
        <v>27</v>
      </c>
      <c r="Z13" t="s">
        <v>71</v>
      </c>
      <c r="AA13" t="s">
        <v>112</v>
      </c>
      <c r="AB13" s="1">
        <v>45592</v>
      </c>
      <c r="AC13" t="s">
        <v>60</v>
      </c>
      <c r="AD13" t="s">
        <v>61</v>
      </c>
      <c r="AE13" t="s">
        <v>62</v>
      </c>
      <c r="AF13" t="s">
        <v>63</v>
      </c>
      <c r="AG13" t="s">
        <v>124</v>
      </c>
      <c r="AH13" t="s">
        <v>61</v>
      </c>
      <c r="AI13" t="s">
        <v>60</v>
      </c>
      <c r="AJ13" t="s">
        <v>60</v>
      </c>
      <c r="AL13">
        <v>974.84</v>
      </c>
      <c r="AM13">
        <v>1410.8</v>
      </c>
      <c r="AN13">
        <v>2492.16</v>
      </c>
      <c r="AO13">
        <v>0</v>
      </c>
      <c r="AP13">
        <v>3902.96</v>
      </c>
      <c r="AQ13" t="s">
        <v>91</v>
      </c>
      <c r="AR13" t="s">
        <v>60</v>
      </c>
      <c r="AS13" t="s">
        <v>61</v>
      </c>
      <c r="AT13" t="s">
        <v>83</v>
      </c>
      <c r="AU13">
        <v>3</v>
      </c>
      <c r="AV13" t="s">
        <v>50</v>
      </c>
      <c r="AX13">
        <v>7566</v>
      </c>
    </row>
    <row r="14" spans="1:51" x14ac:dyDescent="0.3">
      <c r="A14">
        <v>1315</v>
      </c>
      <c r="B14" t="s">
        <v>132</v>
      </c>
      <c r="C14">
        <v>24</v>
      </c>
      <c r="D14" t="s">
        <v>103</v>
      </c>
      <c r="E14" t="s">
        <v>50</v>
      </c>
      <c r="F14" t="s">
        <v>133</v>
      </c>
      <c r="G14" t="s">
        <v>87</v>
      </c>
      <c r="H14" t="s">
        <v>53</v>
      </c>
      <c r="I14">
        <v>95.9</v>
      </c>
      <c r="J14">
        <v>1.64</v>
      </c>
      <c r="K14">
        <v>35.700000000000003</v>
      </c>
      <c r="L14">
        <v>120</v>
      </c>
      <c r="M14">
        <v>83</v>
      </c>
      <c r="N14">
        <v>202</v>
      </c>
      <c r="O14">
        <v>192</v>
      </c>
      <c r="P14">
        <v>205</v>
      </c>
      <c r="Q14">
        <v>105</v>
      </c>
      <c r="R14">
        <v>98</v>
      </c>
      <c r="S14">
        <v>35.9</v>
      </c>
      <c r="T14" s="1">
        <v>45507</v>
      </c>
      <c r="U14" t="s">
        <v>134</v>
      </c>
      <c r="V14" t="s">
        <v>135</v>
      </c>
      <c r="W14" t="s">
        <v>56</v>
      </c>
      <c r="X14" t="s">
        <v>57</v>
      </c>
      <c r="Y14">
        <v>12</v>
      </c>
      <c r="Z14" t="s">
        <v>71</v>
      </c>
      <c r="AA14" t="s">
        <v>112</v>
      </c>
      <c r="AB14" s="1">
        <v>45400</v>
      </c>
      <c r="AC14" t="s">
        <v>60</v>
      </c>
      <c r="AD14" t="s">
        <v>60</v>
      </c>
      <c r="AE14" t="s">
        <v>79</v>
      </c>
      <c r="AF14" t="s">
        <v>63</v>
      </c>
      <c r="AG14" t="s">
        <v>90</v>
      </c>
      <c r="AH14" t="s">
        <v>81</v>
      </c>
      <c r="AI14" t="s">
        <v>61</v>
      </c>
      <c r="AJ14" t="s">
        <v>61</v>
      </c>
      <c r="AL14">
        <v>1371.06</v>
      </c>
      <c r="AM14">
        <v>210.42</v>
      </c>
      <c r="AN14">
        <v>901.93</v>
      </c>
      <c r="AO14">
        <v>0</v>
      </c>
      <c r="AP14">
        <v>1112.3499999999999</v>
      </c>
      <c r="AQ14" t="s">
        <v>65</v>
      </c>
      <c r="AR14" t="s">
        <v>61</v>
      </c>
      <c r="AS14" t="s">
        <v>60</v>
      </c>
      <c r="AT14" t="s">
        <v>101</v>
      </c>
      <c r="AU14">
        <v>4</v>
      </c>
      <c r="AV14" t="s">
        <v>50</v>
      </c>
      <c r="AX14">
        <v>9960</v>
      </c>
    </row>
    <row r="15" spans="1:51" x14ac:dyDescent="0.3">
      <c r="A15">
        <v>1316</v>
      </c>
      <c r="B15" t="s">
        <v>136</v>
      </c>
      <c r="C15">
        <v>35</v>
      </c>
      <c r="D15" t="s">
        <v>49</v>
      </c>
      <c r="E15" t="s">
        <v>50</v>
      </c>
      <c r="F15" t="s">
        <v>137</v>
      </c>
      <c r="G15" t="s">
        <v>68</v>
      </c>
      <c r="H15" t="s">
        <v>68</v>
      </c>
      <c r="I15">
        <v>20.9</v>
      </c>
      <c r="J15">
        <v>1.48</v>
      </c>
      <c r="K15">
        <v>9.5</v>
      </c>
      <c r="L15">
        <v>152</v>
      </c>
      <c r="M15">
        <v>75</v>
      </c>
      <c r="N15">
        <v>137</v>
      </c>
      <c r="O15">
        <v>148</v>
      </c>
      <c r="P15">
        <v>348</v>
      </c>
      <c r="Q15">
        <v>98</v>
      </c>
      <c r="R15">
        <v>93</v>
      </c>
      <c r="S15">
        <v>36.5</v>
      </c>
      <c r="T15" s="1">
        <v>45405</v>
      </c>
      <c r="U15" t="s">
        <v>138</v>
      </c>
      <c r="V15" t="s">
        <v>139</v>
      </c>
      <c r="W15" t="s">
        <v>56</v>
      </c>
      <c r="X15" t="s">
        <v>57</v>
      </c>
      <c r="Y15">
        <v>20</v>
      </c>
      <c r="Z15" t="s">
        <v>58</v>
      </c>
      <c r="AA15" t="s">
        <v>107</v>
      </c>
      <c r="AB15" s="1">
        <v>45649</v>
      </c>
      <c r="AC15" t="s">
        <v>61</v>
      </c>
      <c r="AD15" t="s">
        <v>60</v>
      </c>
      <c r="AE15" t="s">
        <v>62</v>
      </c>
      <c r="AF15" t="s">
        <v>63</v>
      </c>
      <c r="AG15" t="s">
        <v>124</v>
      </c>
      <c r="AH15" t="s">
        <v>81</v>
      </c>
      <c r="AI15" t="s">
        <v>61</v>
      </c>
      <c r="AJ15" t="s">
        <v>61</v>
      </c>
      <c r="AL15">
        <v>1324.77</v>
      </c>
      <c r="AM15">
        <v>1176.02</v>
      </c>
      <c r="AN15">
        <v>1626.53</v>
      </c>
      <c r="AO15">
        <v>0</v>
      </c>
      <c r="AP15">
        <v>2802.55</v>
      </c>
      <c r="AQ15" t="s">
        <v>65</v>
      </c>
      <c r="AR15" t="s">
        <v>60</v>
      </c>
      <c r="AS15" t="s">
        <v>61</v>
      </c>
      <c r="AT15" t="s">
        <v>101</v>
      </c>
      <c r="AU15">
        <v>3</v>
      </c>
      <c r="AV15" t="s">
        <v>50</v>
      </c>
      <c r="AX15">
        <v>11400</v>
      </c>
    </row>
    <row r="16" spans="1:51" x14ac:dyDescent="0.3">
      <c r="A16">
        <v>1317</v>
      </c>
      <c r="B16" t="s">
        <v>140</v>
      </c>
      <c r="C16">
        <v>47</v>
      </c>
      <c r="D16" t="s">
        <v>49</v>
      </c>
      <c r="E16" t="s">
        <v>50</v>
      </c>
      <c r="F16" t="s">
        <v>141</v>
      </c>
      <c r="G16" t="s">
        <v>68</v>
      </c>
      <c r="H16" t="s">
        <v>52</v>
      </c>
      <c r="I16">
        <v>78.900000000000006</v>
      </c>
      <c r="J16">
        <v>1.25</v>
      </c>
      <c r="K16">
        <v>50.5</v>
      </c>
      <c r="L16">
        <v>104</v>
      </c>
      <c r="M16">
        <v>65</v>
      </c>
      <c r="N16">
        <v>100</v>
      </c>
      <c r="O16">
        <v>246</v>
      </c>
      <c r="P16">
        <v>285</v>
      </c>
      <c r="Q16">
        <v>83</v>
      </c>
      <c r="R16">
        <v>96</v>
      </c>
      <c r="S16">
        <v>35.700000000000003</v>
      </c>
      <c r="T16" s="1">
        <v>45356</v>
      </c>
      <c r="U16" t="s">
        <v>142</v>
      </c>
      <c r="V16" t="s">
        <v>143</v>
      </c>
      <c r="W16" t="s">
        <v>56</v>
      </c>
      <c r="X16" t="s">
        <v>57</v>
      </c>
      <c r="Y16">
        <v>18</v>
      </c>
      <c r="Z16" t="s">
        <v>58</v>
      </c>
      <c r="AA16" t="s">
        <v>107</v>
      </c>
      <c r="AB16" s="1">
        <v>45368</v>
      </c>
      <c r="AC16" t="s">
        <v>60</v>
      </c>
      <c r="AD16" t="s">
        <v>61</v>
      </c>
      <c r="AE16" t="s">
        <v>79</v>
      </c>
      <c r="AF16" t="s">
        <v>63</v>
      </c>
      <c r="AG16" t="s">
        <v>80</v>
      </c>
      <c r="AH16" t="s">
        <v>60</v>
      </c>
      <c r="AI16" t="s">
        <v>61</v>
      </c>
      <c r="AJ16" t="s">
        <v>61</v>
      </c>
      <c r="AL16">
        <v>716.87</v>
      </c>
      <c r="AM16">
        <v>639.16</v>
      </c>
      <c r="AN16">
        <v>1273.8599999999999</v>
      </c>
      <c r="AO16">
        <v>0</v>
      </c>
      <c r="AP16">
        <v>1913.02</v>
      </c>
      <c r="AQ16" t="s">
        <v>65</v>
      </c>
      <c r="AR16" t="s">
        <v>61</v>
      </c>
      <c r="AS16" t="s">
        <v>61</v>
      </c>
      <c r="AT16" t="s">
        <v>101</v>
      </c>
      <c r="AU16">
        <v>1</v>
      </c>
      <c r="AV16" t="s">
        <v>50</v>
      </c>
      <c r="AX16">
        <v>6760</v>
      </c>
    </row>
    <row r="17" spans="1:50" x14ac:dyDescent="0.3">
      <c r="A17">
        <v>1318</v>
      </c>
      <c r="B17" t="s">
        <v>144</v>
      </c>
      <c r="C17">
        <v>4</v>
      </c>
      <c r="D17" t="s">
        <v>103</v>
      </c>
      <c r="E17" t="s">
        <v>50</v>
      </c>
      <c r="F17" t="s">
        <v>145</v>
      </c>
      <c r="G17" t="s">
        <v>68</v>
      </c>
      <c r="H17" t="s">
        <v>94</v>
      </c>
      <c r="I17">
        <v>88.3</v>
      </c>
      <c r="J17">
        <v>1.3</v>
      </c>
      <c r="K17">
        <v>52.2</v>
      </c>
      <c r="L17">
        <v>104</v>
      </c>
      <c r="M17">
        <v>60</v>
      </c>
      <c r="N17">
        <v>107</v>
      </c>
      <c r="O17">
        <v>136</v>
      </c>
      <c r="P17">
        <v>367</v>
      </c>
      <c r="Q17">
        <v>96</v>
      </c>
      <c r="R17">
        <v>99</v>
      </c>
      <c r="S17">
        <v>39</v>
      </c>
      <c r="T17" s="1">
        <v>45620</v>
      </c>
      <c r="U17" t="s">
        <v>146</v>
      </c>
      <c r="V17" t="s">
        <v>147</v>
      </c>
      <c r="W17" t="s">
        <v>56</v>
      </c>
      <c r="X17" t="s">
        <v>57</v>
      </c>
      <c r="Y17">
        <v>26</v>
      </c>
      <c r="Z17" t="s">
        <v>71</v>
      </c>
      <c r="AA17" t="s">
        <v>59</v>
      </c>
      <c r="AB17" s="1">
        <v>45535</v>
      </c>
      <c r="AC17" t="s">
        <v>60</v>
      </c>
      <c r="AD17" t="s">
        <v>60</v>
      </c>
      <c r="AE17" t="s">
        <v>72</v>
      </c>
      <c r="AF17" t="s">
        <v>63</v>
      </c>
      <c r="AG17" t="s">
        <v>100</v>
      </c>
      <c r="AH17" t="s">
        <v>81</v>
      </c>
      <c r="AI17" t="s">
        <v>60</v>
      </c>
      <c r="AJ17" t="s">
        <v>60</v>
      </c>
      <c r="AL17">
        <v>1391.19</v>
      </c>
      <c r="AM17">
        <v>1336.92</v>
      </c>
      <c r="AN17">
        <v>806.04</v>
      </c>
      <c r="AO17">
        <v>0</v>
      </c>
      <c r="AP17">
        <v>2142.96</v>
      </c>
      <c r="AQ17" t="s">
        <v>82</v>
      </c>
      <c r="AR17" t="s">
        <v>61</v>
      </c>
      <c r="AS17" t="s">
        <v>61</v>
      </c>
      <c r="AT17" t="s">
        <v>58</v>
      </c>
      <c r="AU17">
        <v>2</v>
      </c>
      <c r="AV17" t="s">
        <v>50</v>
      </c>
      <c r="AX17">
        <v>6240</v>
      </c>
    </row>
    <row r="18" spans="1:50" x14ac:dyDescent="0.3">
      <c r="A18">
        <v>1319</v>
      </c>
      <c r="B18" t="s">
        <v>148</v>
      </c>
      <c r="C18">
        <v>55</v>
      </c>
      <c r="D18" t="s">
        <v>49</v>
      </c>
      <c r="E18" t="s">
        <v>50</v>
      </c>
      <c r="F18" t="s">
        <v>149</v>
      </c>
      <c r="G18" t="s">
        <v>117</v>
      </c>
      <c r="H18" t="s">
        <v>75</v>
      </c>
      <c r="I18">
        <v>85.6</v>
      </c>
      <c r="J18">
        <v>1.42</v>
      </c>
      <c r="K18">
        <v>42.5</v>
      </c>
      <c r="L18">
        <v>108</v>
      </c>
      <c r="M18">
        <v>64</v>
      </c>
      <c r="N18">
        <v>113</v>
      </c>
      <c r="O18">
        <v>139</v>
      </c>
      <c r="P18">
        <v>286</v>
      </c>
      <c r="Q18">
        <v>71</v>
      </c>
      <c r="R18">
        <v>95</v>
      </c>
      <c r="S18">
        <v>39.200000000000003</v>
      </c>
      <c r="T18" s="1">
        <v>45349</v>
      </c>
      <c r="U18" t="s">
        <v>150</v>
      </c>
      <c r="V18" t="s">
        <v>151</v>
      </c>
      <c r="W18" t="s">
        <v>56</v>
      </c>
      <c r="X18" t="s">
        <v>57</v>
      </c>
      <c r="Y18">
        <v>7</v>
      </c>
      <c r="Z18" t="s">
        <v>71</v>
      </c>
      <c r="AA18" t="s">
        <v>107</v>
      </c>
      <c r="AB18" s="1">
        <v>45573</v>
      </c>
      <c r="AC18" t="s">
        <v>60</v>
      </c>
      <c r="AD18" t="s">
        <v>61</v>
      </c>
      <c r="AE18" t="s">
        <v>62</v>
      </c>
      <c r="AF18" t="s">
        <v>63</v>
      </c>
      <c r="AG18" t="s">
        <v>124</v>
      </c>
      <c r="AH18" t="s">
        <v>81</v>
      </c>
      <c r="AI18" t="s">
        <v>61</v>
      </c>
      <c r="AJ18" t="s">
        <v>61</v>
      </c>
      <c r="AL18">
        <v>707.92</v>
      </c>
      <c r="AM18">
        <v>901.64</v>
      </c>
      <c r="AN18">
        <v>2010.5</v>
      </c>
      <c r="AO18">
        <v>0</v>
      </c>
      <c r="AP18">
        <v>2912.14</v>
      </c>
      <c r="AQ18" t="s">
        <v>91</v>
      </c>
      <c r="AR18" t="s">
        <v>61</v>
      </c>
      <c r="AS18" t="s">
        <v>60</v>
      </c>
      <c r="AT18" t="s">
        <v>58</v>
      </c>
      <c r="AU18">
        <v>3</v>
      </c>
      <c r="AV18" t="s">
        <v>50</v>
      </c>
      <c r="AX18">
        <v>6912</v>
      </c>
    </row>
    <row r="19" spans="1:50" x14ac:dyDescent="0.3">
      <c r="A19">
        <v>1320</v>
      </c>
      <c r="B19" t="s">
        <v>152</v>
      </c>
      <c r="C19">
        <v>57</v>
      </c>
      <c r="D19" t="s">
        <v>49</v>
      </c>
      <c r="E19" t="s">
        <v>50</v>
      </c>
      <c r="F19" t="s">
        <v>97</v>
      </c>
      <c r="G19" t="s">
        <v>75</v>
      </c>
      <c r="H19" t="s">
        <v>86</v>
      </c>
      <c r="I19">
        <v>111.5</v>
      </c>
      <c r="J19">
        <v>1.05</v>
      </c>
      <c r="K19">
        <v>101.1</v>
      </c>
      <c r="L19">
        <v>137</v>
      </c>
      <c r="M19">
        <v>77</v>
      </c>
      <c r="N19">
        <v>199</v>
      </c>
      <c r="O19">
        <v>299</v>
      </c>
      <c r="P19">
        <v>302</v>
      </c>
      <c r="Q19">
        <v>109</v>
      </c>
      <c r="R19">
        <v>95</v>
      </c>
      <c r="S19">
        <v>35.700000000000003</v>
      </c>
      <c r="T19" s="1">
        <v>45431</v>
      </c>
      <c r="U19" t="s">
        <v>153</v>
      </c>
      <c r="V19" t="s">
        <v>154</v>
      </c>
      <c r="W19" t="s">
        <v>56</v>
      </c>
      <c r="X19" t="s">
        <v>57</v>
      </c>
      <c r="Y19">
        <v>23</v>
      </c>
      <c r="Z19" t="s">
        <v>78</v>
      </c>
      <c r="AA19" t="s">
        <v>107</v>
      </c>
      <c r="AB19" s="1">
        <v>45661</v>
      </c>
      <c r="AC19" t="s">
        <v>61</v>
      </c>
      <c r="AD19" t="s">
        <v>60</v>
      </c>
      <c r="AE19" t="s">
        <v>62</v>
      </c>
      <c r="AF19" t="s">
        <v>63</v>
      </c>
      <c r="AG19" t="s">
        <v>64</v>
      </c>
      <c r="AH19" t="s">
        <v>81</v>
      </c>
      <c r="AI19" t="s">
        <v>61</v>
      </c>
      <c r="AJ19" t="s">
        <v>61</v>
      </c>
      <c r="AL19">
        <v>701.83</v>
      </c>
      <c r="AM19">
        <v>634.22</v>
      </c>
      <c r="AN19">
        <v>517.62</v>
      </c>
      <c r="AO19">
        <v>0</v>
      </c>
      <c r="AP19">
        <v>1151.8399999999999</v>
      </c>
      <c r="AQ19" t="s">
        <v>82</v>
      </c>
      <c r="AR19" t="s">
        <v>60</v>
      </c>
      <c r="AS19" t="s">
        <v>61</v>
      </c>
      <c r="AT19" t="s">
        <v>101</v>
      </c>
      <c r="AU19">
        <v>3</v>
      </c>
      <c r="AV19" t="s">
        <v>50</v>
      </c>
      <c r="AX19">
        <v>10549</v>
      </c>
    </row>
    <row r="20" spans="1:50" x14ac:dyDescent="0.3">
      <c r="A20">
        <v>1321</v>
      </c>
      <c r="B20" t="s">
        <v>155</v>
      </c>
      <c r="C20">
        <v>66</v>
      </c>
      <c r="D20" t="s">
        <v>49</v>
      </c>
      <c r="E20" t="s">
        <v>50</v>
      </c>
      <c r="F20" t="s">
        <v>156</v>
      </c>
      <c r="G20" t="s">
        <v>117</v>
      </c>
      <c r="H20" t="s">
        <v>86</v>
      </c>
      <c r="I20">
        <v>84.9</v>
      </c>
      <c r="J20">
        <v>1.41</v>
      </c>
      <c r="K20">
        <v>42.7</v>
      </c>
      <c r="L20">
        <v>117</v>
      </c>
      <c r="M20">
        <v>95</v>
      </c>
      <c r="N20">
        <v>151</v>
      </c>
      <c r="O20">
        <v>161</v>
      </c>
      <c r="P20">
        <v>106</v>
      </c>
      <c r="Q20">
        <v>99</v>
      </c>
      <c r="R20">
        <v>100</v>
      </c>
      <c r="S20">
        <v>39</v>
      </c>
      <c r="T20" s="1">
        <v>45462</v>
      </c>
      <c r="U20" t="s">
        <v>157</v>
      </c>
      <c r="V20" t="s">
        <v>158</v>
      </c>
      <c r="W20" t="s">
        <v>56</v>
      </c>
      <c r="X20" t="s">
        <v>57</v>
      </c>
      <c r="Y20">
        <v>20</v>
      </c>
      <c r="Z20" t="s">
        <v>58</v>
      </c>
      <c r="AA20" t="s">
        <v>112</v>
      </c>
      <c r="AB20" s="1">
        <v>45420</v>
      </c>
      <c r="AC20" t="s">
        <v>60</v>
      </c>
      <c r="AD20" t="s">
        <v>61</v>
      </c>
      <c r="AE20" t="s">
        <v>79</v>
      </c>
      <c r="AF20" t="s">
        <v>63</v>
      </c>
      <c r="AG20" t="s">
        <v>80</v>
      </c>
      <c r="AH20" t="s">
        <v>81</v>
      </c>
      <c r="AI20" t="s">
        <v>61</v>
      </c>
      <c r="AJ20" t="s">
        <v>60</v>
      </c>
      <c r="AL20">
        <v>848.74</v>
      </c>
      <c r="AM20">
        <v>1651.13</v>
      </c>
      <c r="AN20">
        <v>452.19</v>
      </c>
      <c r="AO20">
        <v>0</v>
      </c>
      <c r="AP20">
        <v>2103.3200000000002</v>
      </c>
      <c r="AQ20" t="s">
        <v>82</v>
      </c>
      <c r="AR20" t="s">
        <v>60</v>
      </c>
      <c r="AS20" t="s">
        <v>60</v>
      </c>
      <c r="AT20" t="s">
        <v>58</v>
      </c>
      <c r="AU20">
        <v>1</v>
      </c>
      <c r="AV20" t="s">
        <v>50</v>
      </c>
      <c r="AX20">
        <v>11115</v>
      </c>
    </row>
    <row r="21" spans="1:50" x14ac:dyDescent="0.3">
      <c r="A21">
        <v>1322</v>
      </c>
      <c r="B21" t="s">
        <v>159</v>
      </c>
      <c r="C21">
        <v>14</v>
      </c>
      <c r="D21" t="s">
        <v>49</v>
      </c>
      <c r="E21" t="s">
        <v>50</v>
      </c>
      <c r="F21" t="s">
        <v>51</v>
      </c>
      <c r="G21" t="s">
        <v>75</v>
      </c>
      <c r="H21" t="s">
        <v>75</v>
      </c>
      <c r="I21">
        <v>40.4</v>
      </c>
      <c r="J21">
        <v>1.22</v>
      </c>
      <c r="K21">
        <v>27.1</v>
      </c>
      <c r="L21">
        <v>128</v>
      </c>
      <c r="M21">
        <v>65</v>
      </c>
      <c r="N21">
        <v>197</v>
      </c>
      <c r="O21">
        <v>167</v>
      </c>
      <c r="P21">
        <v>248</v>
      </c>
      <c r="Q21">
        <v>98</v>
      </c>
      <c r="R21">
        <v>92</v>
      </c>
      <c r="S21">
        <v>37.700000000000003</v>
      </c>
      <c r="T21" s="1">
        <v>45338</v>
      </c>
      <c r="U21" t="s">
        <v>160</v>
      </c>
      <c r="V21" t="s">
        <v>161</v>
      </c>
      <c r="W21" t="s">
        <v>56</v>
      </c>
      <c r="X21" t="s">
        <v>57</v>
      </c>
      <c r="Y21">
        <v>28</v>
      </c>
      <c r="Z21" t="s">
        <v>58</v>
      </c>
      <c r="AA21" t="s">
        <v>107</v>
      </c>
      <c r="AB21" s="1">
        <v>45604</v>
      </c>
      <c r="AC21" t="s">
        <v>60</v>
      </c>
      <c r="AD21" t="s">
        <v>61</v>
      </c>
      <c r="AE21" t="s">
        <v>79</v>
      </c>
      <c r="AF21" t="s">
        <v>63</v>
      </c>
      <c r="AG21" t="s">
        <v>80</v>
      </c>
      <c r="AH21" t="s">
        <v>60</v>
      </c>
      <c r="AI21" t="s">
        <v>60</v>
      </c>
      <c r="AJ21" t="s">
        <v>61</v>
      </c>
      <c r="AL21">
        <v>934.65</v>
      </c>
      <c r="AM21">
        <v>583.94000000000005</v>
      </c>
      <c r="AN21">
        <v>1843.44</v>
      </c>
      <c r="AO21">
        <v>0</v>
      </c>
      <c r="AP21">
        <v>2427.38</v>
      </c>
      <c r="AQ21" t="s">
        <v>91</v>
      </c>
      <c r="AR21" t="s">
        <v>61</v>
      </c>
      <c r="AS21" t="s">
        <v>61</v>
      </c>
      <c r="AT21" t="s">
        <v>101</v>
      </c>
      <c r="AU21">
        <v>1</v>
      </c>
      <c r="AV21" t="s">
        <v>50</v>
      </c>
      <c r="AX21">
        <v>8320</v>
      </c>
    </row>
    <row r="22" spans="1:50" x14ac:dyDescent="0.3">
      <c r="A22">
        <v>1323</v>
      </c>
      <c r="B22" t="s">
        <v>162</v>
      </c>
      <c r="C22">
        <v>64</v>
      </c>
      <c r="D22" t="s">
        <v>103</v>
      </c>
      <c r="E22" t="s">
        <v>50</v>
      </c>
      <c r="F22" t="s">
        <v>163</v>
      </c>
      <c r="G22" t="s">
        <v>52</v>
      </c>
      <c r="H22" t="s">
        <v>52</v>
      </c>
      <c r="I22">
        <v>45.5</v>
      </c>
      <c r="J22">
        <v>1.1299999999999999</v>
      </c>
      <c r="K22">
        <v>35.6</v>
      </c>
      <c r="L22">
        <v>134</v>
      </c>
      <c r="M22">
        <v>66</v>
      </c>
      <c r="N22">
        <v>108</v>
      </c>
      <c r="O22">
        <v>246</v>
      </c>
      <c r="P22">
        <v>289</v>
      </c>
      <c r="Q22">
        <v>69</v>
      </c>
      <c r="R22">
        <v>98</v>
      </c>
      <c r="S22">
        <v>37.799999999999997</v>
      </c>
      <c r="T22" s="1">
        <v>45339</v>
      </c>
      <c r="U22" t="s">
        <v>164</v>
      </c>
      <c r="V22" t="s">
        <v>106</v>
      </c>
      <c r="W22" t="s">
        <v>56</v>
      </c>
      <c r="X22" t="s">
        <v>57</v>
      </c>
      <c r="Y22">
        <v>28</v>
      </c>
      <c r="Z22" t="s">
        <v>78</v>
      </c>
      <c r="AA22" t="s">
        <v>112</v>
      </c>
      <c r="AB22" s="1">
        <v>45357</v>
      </c>
      <c r="AC22" t="s">
        <v>60</v>
      </c>
      <c r="AD22" t="s">
        <v>61</v>
      </c>
      <c r="AE22" t="s">
        <v>62</v>
      </c>
      <c r="AF22" t="s">
        <v>63</v>
      </c>
      <c r="AG22" t="s">
        <v>124</v>
      </c>
      <c r="AH22" t="s">
        <v>60</v>
      </c>
      <c r="AI22" t="s">
        <v>61</v>
      </c>
      <c r="AJ22" t="s">
        <v>61</v>
      </c>
      <c r="AL22">
        <v>402.5</v>
      </c>
      <c r="AM22">
        <v>726.78</v>
      </c>
      <c r="AN22">
        <v>408.75</v>
      </c>
      <c r="AO22">
        <v>0</v>
      </c>
      <c r="AP22">
        <v>1135.53</v>
      </c>
      <c r="AQ22" t="s">
        <v>82</v>
      </c>
      <c r="AR22" t="s">
        <v>61</v>
      </c>
      <c r="AS22" t="s">
        <v>61</v>
      </c>
      <c r="AT22" t="s">
        <v>101</v>
      </c>
      <c r="AU22">
        <v>4</v>
      </c>
      <c r="AV22" t="s">
        <v>50</v>
      </c>
      <c r="AX22">
        <v>8844</v>
      </c>
    </row>
    <row r="23" spans="1:50" x14ac:dyDescent="0.3">
      <c r="A23">
        <v>1324</v>
      </c>
      <c r="B23" t="s">
        <v>165</v>
      </c>
      <c r="C23">
        <v>44</v>
      </c>
      <c r="D23" t="s">
        <v>103</v>
      </c>
      <c r="E23" t="s">
        <v>50</v>
      </c>
      <c r="F23" t="s">
        <v>166</v>
      </c>
      <c r="G23" t="s">
        <v>75</v>
      </c>
      <c r="H23" t="s">
        <v>75</v>
      </c>
      <c r="I23">
        <v>51.8</v>
      </c>
      <c r="J23">
        <v>1.26</v>
      </c>
      <c r="K23">
        <v>32.6</v>
      </c>
      <c r="L23">
        <v>93</v>
      </c>
      <c r="M23">
        <v>78</v>
      </c>
      <c r="N23">
        <v>159</v>
      </c>
      <c r="O23">
        <v>190</v>
      </c>
      <c r="P23">
        <v>279</v>
      </c>
      <c r="Q23">
        <v>90</v>
      </c>
      <c r="R23">
        <v>98</v>
      </c>
      <c r="S23">
        <v>37</v>
      </c>
      <c r="T23" s="1">
        <v>45526</v>
      </c>
      <c r="U23" t="s">
        <v>167</v>
      </c>
      <c r="V23" t="s">
        <v>123</v>
      </c>
      <c r="W23" t="s">
        <v>56</v>
      </c>
      <c r="X23" t="s">
        <v>57</v>
      </c>
      <c r="Y23">
        <v>13</v>
      </c>
      <c r="Z23" t="s">
        <v>78</v>
      </c>
      <c r="AA23" t="s">
        <v>112</v>
      </c>
      <c r="AB23" s="1">
        <v>45576</v>
      </c>
      <c r="AC23" t="s">
        <v>61</v>
      </c>
      <c r="AD23" t="s">
        <v>60</v>
      </c>
      <c r="AE23" t="s">
        <v>72</v>
      </c>
      <c r="AF23" t="s">
        <v>63</v>
      </c>
      <c r="AG23" t="s">
        <v>124</v>
      </c>
      <c r="AH23" t="s">
        <v>61</v>
      </c>
      <c r="AI23" t="s">
        <v>60</v>
      </c>
      <c r="AJ23" t="s">
        <v>60</v>
      </c>
      <c r="AL23">
        <v>966.21</v>
      </c>
      <c r="AM23">
        <v>1420.66</v>
      </c>
      <c r="AN23">
        <v>1712.1</v>
      </c>
      <c r="AO23">
        <v>0</v>
      </c>
      <c r="AP23">
        <v>3132.76</v>
      </c>
      <c r="AQ23" t="s">
        <v>91</v>
      </c>
      <c r="AR23" t="s">
        <v>61</v>
      </c>
      <c r="AS23" t="s">
        <v>61</v>
      </c>
      <c r="AT23" t="s">
        <v>101</v>
      </c>
      <c r="AU23">
        <v>5</v>
      </c>
      <c r="AV23" t="s">
        <v>50</v>
      </c>
      <c r="AX23">
        <v>7254</v>
      </c>
    </row>
    <row r="24" spans="1:50" x14ac:dyDescent="0.3">
      <c r="A24">
        <v>1325</v>
      </c>
      <c r="B24" t="s">
        <v>168</v>
      </c>
      <c r="C24">
        <v>33</v>
      </c>
      <c r="D24" t="s">
        <v>103</v>
      </c>
      <c r="E24" t="s">
        <v>50</v>
      </c>
      <c r="F24" t="s">
        <v>109</v>
      </c>
      <c r="G24" t="s">
        <v>86</v>
      </c>
      <c r="H24" t="s">
        <v>68</v>
      </c>
      <c r="I24">
        <v>14.5</v>
      </c>
      <c r="J24">
        <v>1.19</v>
      </c>
      <c r="K24">
        <v>10.199999999999999</v>
      </c>
      <c r="L24">
        <v>146</v>
      </c>
      <c r="M24">
        <v>71</v>
      </c>
      <c r="N24">
        <v>236</v>
      </c>
      <c r="O24">
        <v>213</v>
      </c>
      <c r="P24">
        <v>108</v>
      </c>
      <c r="Q24">
        <v>93</v>
      </c>
      <c r="R24">
        <v>95</v>
      </c>
      <c r="S24">
        <v>37.5</v>
      </c>
      <c r="T24" s="1">
        <v>45642</v>
      </c>
      <c r="U24" t="s">
        <v>169</v>
      </c>
      <c r="V24" t="s">
        <v>161</v>
      </c>
      <c r="W24" t="s">
        <v>56</v>
      </c>
      <c r="X24" t="s">
        <v>57</v>
      </c>
      <c r="Y24">
        <v>12</v>
      </c>
      <c r="Z24" t="s">
        <v>58</v>
      </c>
      <c r="AA24" t="s">
        <v>107</v>
      </c>
      <c r="AB24" s="1">
        <v>45665</v>
      </c>
      <c r="AC24" t="s">
        <v>60</v>
      </c>
      <c r="AD24" t="s">
        <v>60</v>
      </c>
      <c r="AE24" t="s">
        <v>79</v>
      </c>
      <c r="AF24" t="s">
        <v>63</v>
      </c>
      <c r="AG24" t="s">
        <v>113</v>
      </c>
      <c r="AH24" t="s">
        <v>60</v>
      </c>
      <c r="AI24" t="s">
        <v>60</v>
      </c>
      <c r="AJ24" t="s">
        <v>61</v>
      </c>
      <c r="AL24">
        <v>1103.01</v>
      </c>
      <c r="AM24">
        <v>957.47</v>
      </c>
      <c r="AN24">
        <v>1374.13</v>
      </c>
      <c r="AO24">
        <v>0</v>
      </c>
      <c r="AP24">
        <v>2331.6</v>
      </c>
      <c r="AQ24" t="s">
        <v>114</v>
      </c>
      <c r="AR24" t="s">
        <v>61</v>
      </c>
      <c r="AS24" t="s">
        <v>61</v>
      </c>
      <c r="AT24" t="s">
        <v>58</v>
      </c>
      <c r="AU24">
        <v>2</v>
      </c>
      <c r="AV24" t="s">
        <v>50</v>
      </c>
      <c r="AX24">
        <v>10366</v>
      </c>
    </row>
    <row r="25" spans="1:50" x14ac:dyDescent="0.3">
      <c r="A25">
        <v>1326</v>
      </c>
      <c r="B25" t="s">
        <v>170</v>
      </c>
      <c r="C25">
        <v>49</v>
      </c>
      <c r="D25" t="s">
        <v>103</v>
      </c>
      <c r="E25" t="s">
        <v>50</v>
      </c>
      <c r="F25" t="s">
        <v>171</v>
      </c>
      <c r="G25" t="s">
        <v>94</v>
      </c>
      <c r="H25" t="s">
        <v>117</v>
      </c>
      <c r="I25">
        <v>41</v>
      </c>
      <c r="J25">
        <v>1.85</v>
      </c>
      <c r="K25">
        <v>12</v>
      </c>
      <c r="L25">
        <v>104</v>
      </c>
      <c r="M25">
        <v>69</v>
      </c>
      <c r="N25">
        <v>108</v>
      </c>
      <c r="O25">
        <v>252</v>
      </c>
      <c r="P25">
        <v>80</v>
      </c>
      <c r="Q25">
        <v>107</v>
      </c>
      <c r="R25">
        <v>95</v>
      </c>
      <c r="S25">
        <v>36.6</v>
      </c>
      <c r="T25" s="1">
        <v>45359</v>
      </c>
      <c r="U25" t="s">
        <v>172</v>
      </c>
      <c r="V25" t="s">
        <v>173</v>
      </c>
      <c r="W25" t="s">
        <v>56</v>
      </c>
      <c r="X25" t="s">
        <v>57</v>
      </c>
      <c r="Y25">
        <v>9</v>
      </c>
      <c r="Z25" t="s">
        <v>58</v>
      </c>
      <c r="AA25" t="s">
        <v>112</v>
      </c>
      <c r="AB25" s="1">
        <v>45418</v>
      </c>
      <c r="AC25" t="s">
        <v>60</v>
      </c>
      <c r="AD25" t="s">
        <v>61</v>
      </c>
      <c r="AE25" t="s">
        <v>72</v>
      </c>
      <c r="AF25" t="s">
        <v>63</v>
      </c>
      <c r="AG25" t="s">
        <v>64</v>
      </c>
      <c r="AH25" t="s">
        <v>81</v>
      </c>
      <c r="AI25" t="s">
        <v>60</v>
      </c>
      <c r="AJ25" t="s">
        <v>61</v>
      </c>
      <c r="AL25">
        <v>651.01</v>
      </c>
      <c r="AM25">
        <v>1344.67</v>
      </c>
      <c r="AN25">
        <v>1489.8</v>
      </c>
      <c r="AO25">
        <v>0</v>
      </c>
      <c r="AP25">
        <v>2834.47</v>
      </c>
      <c r="AQ25" t="s">
        <v>114</v>
      </c>
      <c r="AR25" t="s">
        <v>61</v>
      </c>
      <c r="AS25" t="s">
        <v>61</v>
      </c>
      <c r="AT25" t="s">
        <v>58</v>
      </c>
      <c r="AU25">
        <v>1</v>
      </c>
      <c r="AV25" t="s">
        <v>50</v>
      </c>
      <c r="AX25">
        <v>7176</v>
      </c>
    </row>
    <row r="26" spans="1:50" x14ac:dyDescent="0.3">
      <c r="A26">
        <v>1327</v>
      </c>
      <c r="B26" t="s">
        <v>174</v>
      </c>
      <c r="C26">
        <v>74</v>
      </c>
      <c r="D26" t="s">
        <v>103</v>
      </c>
      <c r="E26" t="s">
        <v>50</v>
      </c>
      <c r="F26" t="s">
        <v>175</v>
      </c>
      <c r="G26" t="s">
        <v>117</v>
      </c>
      <c r="H26" t="s">
        <v>53</v>
      </c>
      <c r="I26">
        <v>21.4</v>
      </c>
      <c r="J26">
        <v>1.31</v>
      </c>
      <c r="K26">
        <v>12.5</v>
      </c>
      <c r="L26">
        <v>134</v>
      </c>
      <c r="M26">
        <v>78</v>
      </c>
      <c r="N26">
        <v>238</v>
      </c>
      <c r="O26">
        <v>160</v>
      </c>
      <c r="P26">
        <v>334</v>
      </c>
      <c r="Q26">
        <v>63</v>
      </c>
      <c r="R26">
        <v>98</v>
      </c>
      <c r="S26">
        <v>39.4</v>
      </c>
      <c r="T26" s="1">
        <v>45634</v>
      </c>
      <c r="U26" t="s">
        <v>176</v>
      </c>
      <c r="V26" t="s">
        <v>177</v>
      </c>
      <c r="W26" t="s">
        <v>56</v>
      </c>
      <c r="X26" t="s">
        <v>57</v>
      </c>
      <c r="Y26">
        <v>25</v>
      </c>
      <c r="Z26" t="s">
        <v>71</v>
      </c>
      <c r="AA26" t="s">
        <v>107</v>
      </c>
      <c r="AB26" s="1">
        <v>45525</v>
      </c>
      <c r="AC26" t="s">
        <v>61</v>
      </c>
      <c r="AD26" t="s">
        <v>60</v>
      </c>
      <c r="AE26" t="s">
        <v>72</v>
      </c>
      <c r="AF26" t="s">
        <v>63</v>
      </c>
      <c r="AG26" t="s">
        <v>124</v>
      </c>
      <c r="AH26" t="s">
        <v>61</v>
      </c>
      <c r="AI26" t="s">
        <v>60</v>
      </c>
      <c r="AJ26" t="s">
        <v>61</v>
      </c>
      <c r="AL26">
        <v>860</v>
      </c>
      <c r="AM26">
        <v>772.71</v>
      </c>
      <c r="AN26">
        <v>2942.75</v>
      </c>
      <c r="AO26">
        <v>0</v>
      </c>
      <c r="AP26">
        <v>3715.46</v>
      </c>
      <c r="AQ26" t="s">
        <v>91</v>
      </c>
      <c r="AR26" t="s">
        <v>60</v>
      </c>
      <c r="AS26" t="s">
        <v>60</v>
      </c>
      <c r="AT26" t="s">
        <v>58</v>
      </c>
      <c r="AU26">
        <v>5</v>
      </c>
      <c r="AV26" t="s">
        <v>50</v>
      </c>
      <c r="AX26">
        <v>10452</v>
      </c>
    </row>
    <row r="27" spans="1:50" x14ac:dyDescent="0.3">
      <c r="A27">
        <v>1328</v>
      </c>
      <c r="B27" t="s">
        <v>178</v>
      </c>
      <c r="C27">
        <v>16</v>
      </c>
      <c r="D27" t="s">
        <v>49</v>
      </c>
      <c r="E27" t="s">
        <v>50</v>
      </c>
      <c r="F27" t="s">
        <v>179</v>
      </c>
      <c r="G27" t="s">
        <v>86</v>
      </c>
      <c r="H27" t="s">
        <v>94</v>
      </c>
      <c r="I27">
        <v>13.2</v>
      </c>
      <c r="J27">
        <v>1.52</v>
      </c>
      <c r="K27">
        <v>5.7</v>
      </c>
      <c r="L27">
        <v>90</v>
      </c>
      <c r="M27">
        <v>90</v>
      </c>
      <c r="N27">
        <v>94</v>
      </c>
      <c r="O27">
        <v>237</v>
      </c>
      <c r="P27">
        <v>132</v>
      </c>
      <c r="Q27">
        <v>101</v>
      </c>
      <c r="R27">
        <v>94</v>
      </c>
      <c r="S27">
        <v>36.5</v>
      </c>
      <c r="T27" s="1">
        <v>45296</v>
      </c>
      <c r="U27" t="s">
        <v>180</v>
      </c>
      <c r="V27" t="s">
        <v>181</v>
      </c>
      <c r="W27" t="s">
        <v>56</v>
      </c>
      <c r="X27" t="s">
        <v>57</v>
      </c>
      <c r="Y27">
        <v>25</v>
      </c>
      <c r="Z27" t="s">
        <v>71</v>
      </c>
      <c r="AA27" t="s">
        <v>59</v>
      </c>
      <c r="AB27" s="1">
        <v>45412</v>
      </c>
      <c r="AC27" t="s">
        <v>60</v>
      </c>
      <c r="AD27" t="s">
        <v>61</v>
      </c>
      <c r="AE27" t="s">
        <v>79</v>
      </c>
      <c r="AF27" t="s">
        <v>63</v>
      </c>
      <c r="AG27" t="s">
        <v>64</v>
      </c>
      <c r="AH27" t="s">
        <v>61</v>
      </c>
      <c r="AI27" t="s">
        <v>60</v>
      </c>
      <c r="AJ27" t="s">
        <v>60</v>
      </c>
      <c r="AL27">
        <v>526.17999999999995</v>
      </c>
      <c r="AM27">
        <v>620.1</v>
      </c>
      <c r="AN27">
        <v>712.97</v>
      </c>
      <c r="AO27">
        <v>0</v>
      </c>
      <c r="AP27">
        <v>1333.07</v>
      </c>
      <c r="AQ27" t="s">
        <v>114</v>
      </c>
      <c r="AR27" t="s">
        <v>60</v>
      </c>
      <c r="AS27" t="s">
        <v>60</v>
      </c>
      <c r="AT27" t="s">
        <v>58</v>
      </c>
      <c r="AU27">
        <v>5</v>
      </c>
      <c r="AV27" t="s">
        <v>50</v>
      </c>
      <c r="AX27">
        <v>8100</v>
      </c>
    </row>
    <row r="28" spans="1:50" x14ac:dyDescent="0.3">
      <c r="A28">
        <v>1329</v>
      </c>
      <c r="B28" t="s">
        <v>182</v>
      </c>
      <c r="C28">
        <v>77</v>
      </c>
      <c r="D28" t="s">
        <v>49</v>
      </c>
      <c r="E28" t="s">
        <v>50</v>
      </c>
      <c r="F28" t="s">
        <v>183</v>
      </c>
      <c r="G28" t="s">
        <v>87</v>
      </c>
      <c r="H28" t="s">
        <v>94</v>
      </c>
      <c r="I28">
        <v>18.8</v>
      </c>
      <c r="J28">
        <v>1.81</v>
      </c>
      <c r="K28">
        <v>5.7</v>
      </c>
      <c r="L28">
        <v>124</v>
      </c>
      <c r="M28">
        <v>81</v>
      </c>
      <c r="N28">
        <v>187</v>
      </c>
      <c r="O28">
        <v>149</v>
      </c>
      <c r="P28">
        <v>145</v>
      </c>
      <c r="Q28">
        <v>92</v>
      </c>
      <c r="R28">
        <v>97</v>
      </c>
      <c r="S28">
        <v>39.1</v>
      </c>
      <c r="T28" s="1">
        <v>45296</v>
      </c>
      <c r="U28" t="s">
        <v>184</v>
      </c>
      <c r="V28" t="s">
        <v>185</v>
      </c>
      <c r="W28" t="s">
        <v>56</v>
      </c>
      <c r="X28" t="s">
        <v>57</v>
      </c>
      <c r="Y28">
        <v>14</v>
      </c>
      <c r="Z28" t="s">
        <v>78</v>
      </c>
      <c r="AA28" t="s">
        <v>112</v>
      </c>
      <c r="AB28" s="1">
        <v>45493</v>
      </c>
      <c r="AC28" t="s">
        <v>60</v>
      </c>
      <c r="AD28" t="s">
        <v>60</v>
      </c>
      <c r="AE28" t="s">
        <v>79</v>
      </c>
      <c r="AF28" t="s">
        <v>63</v>
      </c>
      <c r="AG28" t="s">
        <v>90</v>
      </c>
      <c r="AH28" t="s">
        <v>61</v>
      </c>
      <c r="AI28" t="s">
        <v>60</v>
      </c>
      <c r="AJ28" t="s">
        <v>61</v>
      </c>
      <c r="AL28">
        <v>471.27</v>
      </c>
      <c r="AM28">
        <v>1140.8</v>
      </c>
      <c r="AN28">
        <v>1204.25</v>
      </c>
      <c r="AO28">
        <v>0</v>
      </c>
      <c r="AP28">
        <v>2345.0500000000002</v>
      </c>
      <c r="AQ28" t="s">
        <v>82</v>
      </c>
      <c r="AR28" t="s">
        <v>61</v>
      </c>
      <c r="AS28" t="s">
        <v>60</v>
      </c>
      <c r="AT28" t="s">
        <v>101</v>
      </c>
      <c r="AU28">
        <v>3</v>
      </c>
      <c r="AV28" t="s">
        <v>50</v>
      </c>
      <c r="AX28">
        <v>10044</v>
      </c>
    </row>
    <row r="29" spans="1:50" x14ac:dyDescent="0.3">
      <c r="A29">
        <v>1330</v>
      </c>
      <c r="B29" t="s">
        <v>186</v>
      </c>
      <c r="C29">
        <v>48</v>
      </c>
      <c r="D29" t="s">
        <v>49</v>
      </c>
      <c r="E29" t="s">
        <v>50</v>
      </c>
      <c r="F29" t="s">
        <v>187</v>
      </c>
      <c r="G29" t="s">
        <v>86</v>
      </c>
      <c r="H29" t="s">
        <v>94</v>
      </c>
      <c r="I29">
        <v>13.1</v>
      </c>
      <c r="J29">
        <v>1.85</v>
      </c>
      <c r="K29">
        <v>3.8</v>
      </c>
      <c r="L29">
        <v>148</v>
      </c>
      <c r="M29">
        <v>81</v>
      </c>
      <c r="N29">
        <v>87</v>
      </c>
      <c r="O29">
        <v>220</v>
      </c>
      <c r="P29">
        <v>209</v>
      </c>
      <c r="Q29">
        <v>63</v>
      </c>
      <c r="R29">
        <v>99</v>
      </c>
      <c r="S29">
        <v>35.700000000000003</v>
      </c>
      <c r="T29" s="1">
        <v>45622</v>
      </c>
      <c r="U29" t="s">
        <v>188</v>
      </c>
      <c r="V29" t="s">
        <v>189</v>
      </c>
      <c r="W29" t="s">
        <v>56</v>
      </c>
      <c r="X29" t="s">
        <v>57</v>
      </c>
      <c r="Y29">
        <v>29</v>
      </c>
      <c r="Z29" t="s">
        <v>71</v>
      </c>
      <c r="AA29" t="s">
        <v>59</v>
      </c>
      <c r="AB29" s="1">
        <v>45642</v>
      </c>
      <c r="AC29" t="s">
        <v>61</v>
      </c>
      <c r="AD29" t="s">
        <v>60</v>
      </c>
      <c r="AE29" t="s">
        <v>79</v>
      </c>
      <c r="AF29" t="s">
        <v>63</v>
      </c>
      <c r="AG29" t="s">
        <v>113</v>
      </c>
      <c r="AH29" t="s">
        <v>60</v>
      </c>
      <c r="AI29" t="s">
        <v>61</v>
      </c>
      <c r="AJ29" t="s">
        <v>61</v>
      </c>
      <c r="AL29">
        <v>1377.41</v>
      </c>
      <c r="AM29">
        <v>1165.5</v>
      </c>
      <c r="AN29">
        <v>2304.39</v>
      </c>
      <c r="AO29">
        <v>0</v>
      </c>
      <c r="AP29">
        <v>3469.89</v>
      </c>
      <c r="AQ29" t="s">
        <v>65</v>
      </c>
      <c r="AR29" t="s">
        <v>61</v>
      </c>
      <c r="AS29" t="s">
        <v>60</v>
      </c>
      <c r="AT29" t="s">
        <v>58</v>
      </c>
      <c r="AU29">
        <v>2</v>
      </c>
      <c r="AV29" t="s">
        <v>50</v>
      </c>
      <c r="AX29">
        <v>11988</v>
      </c>
    </row>
    <row r="30" spans="1:50" x14ac:dyDescent="0.3">
      <c r="A30">
        <v>1331</v>
      </c>
      <c r="B30" t="s">
        <v>190</v>
      </c>
      <c r="C30">
        <v>9</v>
      </c>
      <c r="D30" t="s">
        <v>103</v>
      </c>
      <c r="E30" t="s">
        <v>50</v>
      </c>
      <c r="F30" t="s">
        <v>109</v>
      </c>
      <c r="G30" t="s">
        <v>75</v>
      </c>
      <c r="H30" t="s">
        <v>75</v>
      </c>
      <c r="I30">
        <v>53.6</v>
      </c>
      <c r="J30">
        <v>1.55</v>
      </c>
      <c r="K30">
        <v>22.3</v>
      </c>
      <c r="L30">
        <v>111</v>
      </c>
      <c r="M30">
        <v>66</v>
      </c>
      <c r="N30">
        <v>129</v>
      </c>
      <c r="O30">
        <v>189</v>
      </c>
      <c r="P30">
        <v>108</v>
      </c>
      <c r="Q30">
        <v>91</v>
      </c>
      <c r="R30">
        <v>99</v>
      </c>
      <c r="S30">
        <v>37</v>
      </c>
      <c r="T30" s="1">
        <v>45343</v>
      </c>
      <c r="U30" t="s">
        <v>191</v>
      </c>
      <c r="V30" t="s">
        <v>192</v>
      </c>
      <c r="W30" t="s">
        <v>56</v>
      </c>
      <c r="X30" t="s">
        <v>57</v>
      </c>
      <c r="Y30">
        <v>15</v>
      </c>
      <c r="Z30" t="s">
        <v>78</v>
      </c>
      <c r="AA30" t="s">
        <v>59</v>
      </c>
      <c r="AB30" s="1">
        <v>45389</v>
      </c>
      <c r="AC30" t="s">
        <v>60</v>
      </c>
      <c r="AD30" t="s">
        <v>60</v>
      </c>
      <c r="AE30" t="s">
        <v>72</v>
      </c>
      <c r="AF30" t="s">
        <v>63</v>
      </c>
      <c r="AG30" t="s">
        <v>90</v>
      </c>
      <c r="AH30" t="s">
        <v>60</v>
      </c>
      <c r="AI30" t="s">
        <v>61</v>
      </c>
      <c r="AJ30" t="s">
        <v>61</v>
      </c>
      <c r="AL30">
        <v>1498.94</v>
      </c>
      <c r="AM30">
        <v>1138.57</v>
      </c>
      <c r="AN30">
        <v>2991.2</v>
      </c>
      <c r="AO30">
        <v>0</v>
      </c>
      <c r="AP30">
        <v>4129.7700000000004</v>
      </c>
      <c r="AQ30" t="s">
        <v>114</v>
      </c>
      <c r="AR30" t="s">
        <v>60</v>
      </c>
      <c r="AS30" t="s">
        <v>61</v>
      </c>
      <c r="AT30" t="s">
        <v>83</v>
      </c>
      <c r="AU30">
        <v>1</v>
      </c>
      <c r="AV30" t="s">
        <v>50</v>
      </c>
      <c r="AX30">
        <v>7326</v>
      </c>
    </row>
    <row r="31" spans="1:50" x14ac:dyDescent="0.3">
      <c r="A31">
        <v>1332</v>
      </c>
      <c r="B31" t="s">
        <v>193</v>
      </c>
      <c r="C31">
        <v>29</v>
      </c>
      <c r="D31" t="s">
        <v>103</v>
      </c>
      <c r="E31" t="s">
        <v>50</v>
      </c>
      <c r="F31" t="s">
        <v>194</v>
      </c>
      <c r="G31" t="s">
        <v>52</v>
      </c>
      <c r="H31" t="s">
        <v>75</v>
      </c>
      <c r="I31">
        <v>85.3</v>
      </c>
      <c r="J31">
        <v>1.73</v>
      </c>
      <c r="K31">
        <v>28.5</v>
      </c>
      <c r="L31">
        <v>157</v>
      </c>
      <c r="M31">
        <v>97</v>
      </c>
      <c r="N31">
        <v>150</v>
      </c>
      <c r="O31">
        <v>240</v>
      </c>
      <c r="P31">
        <v>183</v>
      </c>
      <c r="Q31">
        <v>64</v>
      </c>
      <c r="R31">
        <v>92</v>
      </c>
      <c r="S31">
        <v>38.200000000000003</v>
      </c>
      <c r="T31" s="1">
        <v>45489</v>
      </c>
      <c r="U31" t="s">
        <v>195</v>
      </c>
      <c r="V31" t="s">
        <v>196</v>
      </c>
      <c r="W31" t="s">
        <v>56</v>
      </c>
      <c r="X31" t="s">
        <v>57</v>
      </c>
      <c r="Y31">
        <v>21</v>
      </c>
      <c r="Z31" t="s">
        <v>78</v>
      </c>
      <c r="AA31" t="s">
        <v>112</v>
      </c>
      <c r="AB31" s="1">
        <v>45662</v>
      </c>
      <c r="AC31" t="s">
        <v>60</v>
      </c>
      <c r="AD31" t="s">
        <v>61</v>
      </c>
      <c r="AE31" t="s">
        <v>62</v>
      </c>
      <c r="AF31" t="s">
        <v>63</v>
      </c>
      <c r="AG31" t="s">
        <v>80</v>
      </c>
      <c r="AH31" t="s">
        <v>81</v>
      </c>
      <c r="AI31" t="s">
        <v>60</v>
      </c>
      <c r="AJ31" t="s">
        <v>60</v>
      </c>
      <c r="AL31">
        <v>1266.8800000000001</v>
      </c>
      <c r="AM31">
        <v>704.38</v>
      </c>
      <c r="AN31">
        <v>2536.36</v>
      </c>
      <c r="AO31">
        <v>0</v>
      </c>
      <c r="AP31">
        <v>3240.74</v>
      </c>
      <c r="AQ31" t="s">
        <v>65</v>
      </c>
      <c r="AR31" t="s">
        <v>61</v>
      </c>
      <c r="AS31" t="s">
        <v>61</v>
      </c>
      <c r="AT31" t="s">
        <v>58</v>
      </c>
      <c r="AU31">
        <v>1</v>
      </c>
      <c r="AV31" t="s">
        <v>50</v>
      </c>
      <c r="AX31">
        <v>15229</v>
      </c>
    </row>
    <row r="32" spans="1:50" x14ac:dyDescent="0.3">
      <c r="A32">
        <v>1333</v>
      </c>
      <c r="B32" t="s">
        <v>197</v>
      </c>
      <c r="C32">
        <v>75</v>
      </c>
      <c r="D32" t="s">
        <v>49</v>
      </c>
      <c r="E32" t="s">
        <v>50</v>
      </c>
      <c r="F32" t="s">
        <v>121</v>
      </c>
      <c r="G32" t="s">
        <v>52</v>
      </c>
      <c r="H32" t="s">
        <v>87</v>
      </c>
      <c r="I32">
        <v>68.2</v>
      </c>
      <c r="J32">
        <v>1.74</v>
      </c>
      <c r="K32">
        <v>22.5</v>
      </c>
      <c r="L32">
        <v>157</v>
      </c>
      <c r="M32">
        <v>88</v>
      </c>
      <c r="N32">
        <v>236</v>
      </c>
      <c r="O32">
        <v>273</v>
      </c>
      <c r="P32">
        <v>202</v>
      </c>
      <c r="Q32">
        <v>110</v>
      </c>
      <c r="R32">
        <v>100</v>
      </c>
      <c r="S32">
        <v>36</v>
      </c>
      <c r="T32" s="1">
        <v>45421</v>
      </c>
      <c r="U32" t="s">
        <v>198</v>
      </c>
      <c r="V32" t="s">
        <v>199</v>
      </c>
      <c r="W32" t="s">
        <v>56</v>
      </c>
      <c r="X32" t="s">
        <v>57</v>
      </c>
      <c r="Y32">
        <v>15</v>
      </c>
      <c r="Z32" t="s">
        <v>71</v>
      </c>
      <c r="AA32" t="s">
        <v>107</v>
      </c>
      <c r="AB32" s="1">
        <v>45640</v>
      </c>
      <c r="AC32" t="s">
        <v>60</v>
      </c>
      <c r="AD32" t="s">
        <v>61</v>
      </c>
      <c r="AE32" t="s">
        <v>79</v>
      </c>
      <c r="AF32" t="s">
        <v>63</v>
      </c>
      <c r="AG32" t="s">
        <v>80</v>
      </c>
      <c r="AH32" t="s">
        <v>81</v>
      </c>
      <c r="AI32" t="s">
        <v>61</v>
      </c>
      <c r="AJ32" t="s">
        <v>60</v>
      </c>
      <c r="AL32">
        <v>870.35</v>
      </c>
      <c r="AM32">
        <v>1013.03</v>
      </c>
      <c r="AN32">
        <v>707.32</v>
      </c>
      <c r="AO32">
        <v>0</v>
      </c>
      <c r="AP32">
        <v>1720.35</v>
      </c>
      <c r="AQ32" t="s">
        <v>65</v>
      </c>
      <c r="AR32" t="s">
        <v>60</v>
      </c>
      <c r="AS32" t="s">
        <v>60</v>
      </c>
      <c r="AT32" t="s">
        <v>101</v>
      </c>
      <c r="AU32">
        <v>4</v>
      </c>
      <c r="AV32" t="s">
        <v>50</v>
      </c>
      <c r="AX32">
        <v>13816</v>
      </c>
    </row>
    <row r="33" spans="1:50" x14ac:dyDescent="0.3">
      <c r="A33">
        <v>1334</v>
      </c>
      <c r="B33" t="s">
        <v>200</v>
      </c>
      <c r="C33">
        <v>88</v>
      </c>
      <c r="D33" t="s">
        <v>103</v>
      </c>
      <c r="E33" t="s">
        <v>50</v>
      </c>
      <c r="F33" t="s">
        <v>201</v>
      </c>
      <c r="G33" t="s">
        <v>75</v>
      </c>
      <c r="H33" t="s">
        <v>87</v>
      </c>
      <c r="I33">
        <v>75.2</v>
      </c>
      <c r="J33">
        <v>1.34</v>
      </c>
      <c r="K33">
        <v>41.9</v>
      </c>
      <c r="L33">
        <v>102</v>
      </c>
      <c r="M33">
        <v>86</v>
      </c>
      <c r="N33">
        <v>225</v>
      </c>
      <c r="O33">
        <v>148</v>
      </c>
      <c r="P33">
        <v>192</v>
      </c>
      <c r="Q33">
        <v>106</v>
      </c>
      <c r="R33">
        <v>95</v>
      </c>
      <c r="S33">
        <v>38</v>
      </c>
      <c r="T33" s="1">
        <v>45546</v>
      </c>
      <c r="U33" t="s">
        <v>202</v>
      </c>
      <c r="V33" t="s">
        <v>203</v>
      </c>
      <c r="W33" t="s">
        <v>56</v>
      </c>
      <c r="X33" t="s">
        <v>57</v>
      </c>
      <c r="Y33">
        <v>30</v>
      </c>
      <c r="Z33" t="s">
        <v>78</v>
      </c>
      <c r="AA33" t="s">
        <v>112</v>
      </c>
      <c r="AB33" s="1">
        <v>45487</v>
      </c>
      <c r="AC33" t="s">
        <v>61</v>
      </c>
      <c r="AD33" t="s">
        <v>60</v>
      </c>
      <c r="AE33" t="s">
        <v>72</v>
      </c>
      <c r="AF33" t="s">
        <v>63</v>
      </c>
      <c r="AG33" t="s">
        <v>64</v>
      </c>
      <c r="AH33" t="s">
        <v>61</v>
      </c>
      <c r="AI33" t="s">
        <v>61</v>
      </c>
      <c r="AJ33" t="s">
        <v>60</v>
      </c>
      <c r="AL33">
        <v>1148.3</v>
      </c>
      <c r="AM33">
        <v>287.87</v>
      </c>
      <c r="AN33">
        <v>709.81</v>
      </c>
      <c r="AO33">
        <v>0</v>
      </c>
      <c r="AP33">
        <v>997.68</v>
      </c>
      <c r="AQ33" t="s">
        <v>91</v>
      </c>
      <c r="AR33" t="s">
        <v>61</v>
      </c>
      <c r="AS33" t="s">
        <v>61</v>
      </c>
      <c r="AT33" t="s">
        <v>58</v>
      </c>
      <c r="AU33">
        <v>4</v>
      </c>
      <c r="AV33" t="s">
        <v>50</v>
      </c>
      <c r="AX33">
        <v>8772</v>
      </c>
    </row>
    <row r="34" spans="1:50" x14ac:dyDescent="0.3">
      <c r="A34">
        <v>1335</v>
      </c>
      <c r="B34" t="s">
        <v>204</v>
      </c>
      <c r="C34">
        <v>16</v>
      </c>
      <c r="D34" t="s">
        <v>49</v>
      </c>
      <c r="E34" t="s">
        <v>50</v>
      </c>
      <c r="F34" t="s">
        <v>156</v>
      </c>
      <c r="G34" t="s">
        <v>87</v>
      </c>
      <c r="H34" t="s">
        <v>117</v>
      </c>
      <c r="I34">
        <v>46.6</v>
      </c>
      <c r="J34">
        <v>1.44</v>
      </c>
      <c r="K34">
        <v>22.5</v>
      </c>
      <c r="L34">
        <v>117</v>
      </c>
      <c r="M34">
        <v>61</v>
      </c>
      <c r="N34">
        <v>84</v>
      </c>
      <c r="O34">
        <v>281</v>
      </c>
      <c r="P34">
        <v>271</v>
      </c>
      <c r="Q34">
        <v>62</v>
      </c>
      <c r="R34">
        <v>94</v>
      </c>
      <c r="S34">
        <v>38.5</v>
      </c>
      <c r="T34" s="1">
        <v>45397</v>
      </c>
      <c r="U34" t="s">
        <v>205</v>
      </c>
      <c r="V34" t="s">
        <v>206</v>
      </c>
      <c r="W34" t="s">
        <v>56</v>
      </c>
      <c r="X34" t="s">
        <v>57</v>
      </c>
      <c r="Y34">
        <v>16</v>
      </c>
      <c r="Z34" t="s">
        <v>58</v>
      </c>
      <c r="AA34" t="s">
        <v>107</v>
      </c>
      <c r="AB34" s="1">
        <v>45491</v>
      </c>
      <c r="AC34" t="s">
        <v>61</v>
      </c>
      <c r="AD34" t="s">
        <v>60</v>
      </c>
      <c r="AE34" t="s">
        <v>62</v>
      </c>
      <c r="AF34" t="s">
        <v>63</v>
      </c>
      <c r="AG34" t="s">
        <v>90</v>
      </c>
      <c r="AH34" t="s">
        <v>61</v>
      </c>
      <c r="AI34" t="s">
        <v>61</v>
      </c>
      <c r="AJ34" t="s">
        <v>61</v>
      </c>
      <c r="AL34">
        <v>1012.64</v>
      </c>
      <c r="AM34">
        <v>1138.24</v>
      </c>
      <c r="AN34">
        <v>2255.1799999999998</v>
      </c>
      <c r="AO34">
        <v>0</v>
      </c>
      <c r="AP34">
        <v>3393.42</v>
      </c>
      <c r="AQ34" t="s">
        <v>82</v>
      </c>
      <c r="AR34" t="s">
        <v>61</v>
      </c>
      <c r="AS34" t="s">
        <v>61</v>
      </c>
      <c r="AT34" t="s">
        <v>101</v>
      </c>
      <c r="AU34">
        <v>4</v>
      </c>
      <c r="AV34" t="s">
        <v>50</v>
      </c>
      <c r="AX34">
        <v>7137</v>
      </c>
    </row>
    <row r="35" spans="1:50" x14ac:dyDescent="0.3">
      <c r="A35">
        <v>1336</v>
      </c>
      <c r="B35" t="s">
        <v>207</v>
      </c>
      <c r="C35">
        <v>47</v>
      </c>
      <c r="D35" t="s">
        <v>103</v>
      </c>
      <c r="E35" t="s">
        <v>50</v>
      </c>
      <c r="F35" t="s">
        <v>201</v>
      </c>
      <c r="G35" t="s">
        <v>53</v>
      </c>
      <c r="H35" t="s">
        <v>75</v>
      </c>
      <c r="I35">
        <v>111.4</v>
      </c>
      <c r="J35">
        <v>1.49</v>
      </c>
      <c r="K35">
        <v>50.2</v>
      </c>
      <c r="L35">
        <v>131</v>
      </c>
      <c r="M35">
        <v>87</v>
      </c>
      <c r="N35">
        <v>187</v>
      </c>
      <c r="O35">
        <v>252</v>
      </c>
      <c r="P35">
        <v>261</v>
      </c>
      <c r="Q35">
        <v>99</v>
      </c>
      <c r="R35">
        <v>92</v>
      </c>
      <c r="S35">
        <v>38.4</v>
      </c>
      <c r="T35" s="1">
        <v>45418</v>
      </c>
      <c r="U35" t="s">
        <v>184</v>
      </c>
      <c r="V35" t="s">
        <v>208</v>
      </c>
      <c r="W35" t="s">
        <v>56</v>
      </c>
      <c r="X35" t="s">
        <v>57</v>
      </c>
      <c r="Y35">
        <v>25</v>
      </c>
      <c r="Z35" t="s">
        <v>71</v>
      </c>
      <c r="AA35" t="s">
        <v>107</v>
      </c>
      <c r="AB35" s="1">
        <v>45691</v>
      </c>
      <c r="AC35" t="s">
        <v>61</v>
      </c>
      <c r="AD35" t="s">
        <v>60</v>
      </c>
      <c r="AE35" t="s">
        <v>62</v>
      </c>
      <c r="AF35" t="s">
        <v>63</v>
      </c>
      <c r="AG35" t="s">
        <v>124</v>
      </c>
      <c r="AH35" t="s">
        <v>61</v>
      </c>
      <c r="AI35" t="s">
        <v>60</v>
      </c>
      <c r="AJ35" t="s">
        <v>61</v>
      </c>
      <c r="AL35">
        <v>324.04000000000002</v>
      </c>
      <c r="AM35">
        <v>843.7</v>
      </c>
      <c r="AN35">
        <v>2387.9299999999998</v>
      </c>
      <c r="AO35">
        <v>0</v>
      </c>
      <c r="AP35">
        <v>3231.63</v>
      </c>
      <c r="AQ35" t="s">
        <v>82</v>
      </c>
      <c r="AR35" t="s">
        <v>61</v>
      </c>
      <c r="AS35" t="s">
        <v>60</v>
      </c>
      <c r="AT35" t="s">
        <v>58</v>
      </c>
      <c r="AU35">
        <v>3</v>
      </c>
      <c r="AV35" t="s">
        <v>50</v>
      </c>
      <c r="AX35">
        <v>11397</v>
      </c>
    </row>
    <row r="36" spans="1:50" x14ac:dyDescent="0.3">
      <c r="A36">
        <v>1337</v>
      </c>
      <c r="B36" t="s">
        <v>209</v>
      </c>
      <c r="C36">
        <v>41</v>
      </c>
      <c r="D36" t="s">
        <v>103</v>
      </c>
      <c r="E36" t="s">
        <v>50</v>
      </c>
      <c r="F36" t="s">
        <v>210</v>
      </c>
      <c r="G36" t="s">
        <v>75</v>
      </c>
      <c r="H36" t="s">
        <v>94</v>
      </c>
      <c r="I36">
        <v>18</v>
      </c>
      <c r="J36">
        <v>1.67</v>
      </c>
      <c r="K36">
        <v>6.5</v>
      </c>
      <c r="L36">
        <v>151</v>
      </c>
      <c r="M36">
        <v>88</v>
      </c>
      <c r="N36">
        <v>211</v>
      </c>
      <c r="O36">
        <v>279</v>
      </c>
      <c r="P36">
        <v>232</v>
      </c>
      <c r="Q36">
        <v>96</v>
      </c>
      <c r="R36">
        <v>96</v>
      </c>
      <c r="S36">
        <v>38.700000000000003</v>
      </c>
      <c r="T36" s="1">
        <v>45656</v>
      </c>
      <c r="U36" t="s">
        <v>54</v>
      </c>
      <c r="V36" t="s">
        <v>211</v>
      </c>
      <c r="W36" t="s">
        <v>56</v>
      </c>
      <c r="X36" t="s">
        <v>57</v>
      </c>
      <c r="Y36">
        <v>24</v>
      </c>
      <c r="Z36" t="s">
        <v>78</v>
      </c>
      <c r="AA36" t="s">
        <v>59</v>
      </c>
      <c r="AB36" s="1">
        <v>45516</v>
      </c>
      <c r="AC36" t="s">
        <v>60</v>
      </c>
      <c r="AD36" t="s">
        <v>60</v>
      </c>
      <c r="AE36" t="s">
        <v>79</v>
      </c>
      <c r="AF36" t="s">
        <v>63</v>
      </c>
      <c r="AG36" t="s">
        <v>113</v>
      </c>
      <c r="AH36" t="s">
        <v>81</v>
      </c>
      <c r="AI36" t="s">
        <v>61</v>
      </c>
      <c r="AJ36" t="s">
        <v>61</v>
      </c>
      <c r="AL36">
        <v>563.39</v>
      </c>
      <c r="AM36">
        <v>1743.89</v>
      </c>
      <c r="AN36">
        <v>2237.11</v>
      </c>
      <c r="AO36">
        <v>0</v>
      </c>
      <c r="AP36">
        <v>3981</v>
      </c>
      <c r="AQ36" t="s">
        <v>82</v>
      </c>
      <c r="AR36" t="s">
        <v>60</v>
      </c>
      <c r="AS36" t="s">
        <v>61</v>
      </c>
      <c r="AT36" t="s">
        <v>58</v>
      </c>
      <c r="AU36">
        <v>1</v>
      </c>
      <c r="AV36" t="s">
        <v>50</v>
      </c>
      <c r="AX36">
        <v>13288</v>
      </c>
    </row>
    <row r="37" spans="1:50" x14ac:dyDescent="0.3">
      <c r="A37">
        <v>1338</v>
      </c>
      <c r="B37" t="s">
        <v>212</v>
      </c>
      <c r="C37">
        <v>71</v>
      </c>
      <c r="D37" t="s">
        <v>49</v>
      </c>
      <c r="E37" t="s">
        <v>50</v>
      </c>
      <c r="F37" t="s">
        <v>141</v>
      </c>
      <c r="G37" t="s">
        <v>53</v>
      </c>
      <c r="H37" t="s">
        <v>75</v>
      </c>
      <c r="I37">
        <v>105.2</v>
      </c>
      <c r="J37">
        <v>1.41</v>
      </c>
      <c r="K37">
        <v>52.9</v>
      </c>
      <c r="L37">
        <v>115</v>
      </c>
      <c r="M37">
        <v>64</v>
      </c>
      <c r="N37">
        <v>134</v>
      </c>
      <c r="O37">
        <v>287</v>
      </c>
      <c r="P37">
        <v>349</v>
      </c>
      <c r="Q37">
        <v>66</v>
      </c>
      <c r="R37">
        <v>94</v>
      </c>
      <c r="S37">
        <v>37</v>
      </c>
      <c r="T37" s="1">
        <v>45437</v>
      </c>
      <c r="U37" t="s">
        <v>213</v>
      </c>
      <c r="V37" t="s">
        <v>214</v>
      </c>
      <c r="W37" t="s">
        <v>56</v>
      </c>
      <c r="X37" t="s">
        <v>57</v>
      </c>
      <c r="Y37">
        <v>10</v>
      </c>
      <c r="Z37" t="s">
        <v>78</v>
      </c>
      <c r="AA37" t="s">
        <v>107</v>
      </c>
      <c r="AB37" s="1">
        <v>45341</v>
      </c>
      <c r="AC37" t="s">
        <v>61</v>
      </c>
      <c r="AD37" t="s">
        <v>60</v>
      </c>
      <c r="AE37" t="s">
        <v>79</v>
      </c>
      <c r="AF37" t="s">
        <v>63</v>
      </c>
      <c r="AG37" t="s">
        <v>113</v>
      </c>
      <c r="AH37" t="s">
        <v>81</v>
      </c>
      <c r="AI37" t="s">
        <v>60</v>
      </c>
      <c r="AJ37" t="s">
        <v>61</v>
      </c>
      <c r="AL37">
        <v>379.1</v>
      </c>
      <c r="AM37">
        <v>1326.08</v>
      </c>
      <c r="AN37">
        <v>2838.59</v>
      </c>
      <c r="AO37">
        <v>0</v>
      </c>
      <c r="AP37">
        <v>4164.67</v>
      </c>
      <c r="AQ37" t="s">
        <v>91</v>
      </c>
      <c r="AR37" t="s">
        <v>61</v>
      </c>
      <c r="AS37" t="s">
        <v>61</v>
      </c>
      <c r="AT37" t="s">
        <v>83</v>
      </c>
      <c r="AU37">
        <v>1</v>
      </c>
      <c r="AV37" t="s">
        <v>50</v>
      </c>
      <c r="AX37">
        <v>7360</v>
      </c>
    </row>
    <row r="38" spans="1:50" x14ac:dyDescent="0.3">
      <c r="A38">
        <v>1339</v>
      </c>
      <c r="B38" t="s">
        <v>215</v>
      </c>
      <c r="C38">
        <v>25</v>
      </c>
      <c r="D38" t="s">
        <v>49</v>
      </c>
      <c r="E38" t="s">
        <v>50</v>
      </c>
      <c r="F38" t="s">
        <v>216</v>
      </c>
      <c r="G38" t="s">
        <v>86</v>
      </c>
      <c r="H38" t="s">
        <v>53</v>
      </c>
      <c r="I38">
        <v>32.4</v>
      </c>
      <c r="J38">
        <v>1.07</v>
      </c>
      <c r="K38">
        <v>28.3</v>
      </c>
      <c r="L38">
        <v>107</v>
      </c>
      <c r="M38">
        <v>86</v>
      </c>
      <c r="N38">
        <v>210</v>
      </c>
      <c r="O38">
        <v>164</v>
      </c>
      <c r="P38">
        <v>108</v>
      </c>
      <c r="Q38">
        <v>106</v>
      </c>
      <c r="R38">
        <v>100</v>
      </c>
      <c r="S38">
        <v>37</v>
      </c>
      <c r="T38" s="1">
        <v>45556</v>
      </c>
      <c r="U38" t="s">
        <v>217</v>
      </c>
      <c r="V38" t="s">
        <v>218</v>
      </c>
      <c r="W38" t="s">
        <v>56</v>
      </c>
      <c r="X38" t="s">
        <v>57</v>
      </c>
      <c r="Y38">
        <v>26</v>
      </c>
      <c r="Z38" t="s">
        <v>58</v>
      </c>
      <c r="AA38" t="s">
        <v>59</v>
      </c>
      <c r="AB38" s="1">
        <v>45657</v>
      </c>
      <c r="AC38" t="s">
        <v>61</v>
      </c>
      <c r="AD38" t="s">
        <v>61</v>
      </c>
      <c r="AE38" t="s">
        <v>72</v>
      </c>
      <c r="AF38" t="s">
        <v>63</v>
      </c>
      <c r="AG38" t="s">
        <v>100</v>
      </c>
      <c r="AH38" t="s">
        <v>81</v>
      </c>
      <c r="AI38" t="s">
        <v>60</v>
      </c>
      <c r="AJ38" t="s">
        <v>61</v>
      </c>
      <c r="AL38">
        <v>806.37</v>
      </c>
      <c r="AM38">
        <v>1170.3699999999999</v>
      </c>
      <c r="AN38">
        <v>182.19</v>
      </c>
      <c r="AO38">
        <v>0</v>
      </c>
      <c r="AP38">
        <v>1352.56</v>
      </c>
      <c r="AQ38" t="s">
        <v>114</v>
      </c>
      <c r="AR38" t="s">
        <v>61</v>
      </c>
      <c r="AS38" t="s">
        <v>60</v>
      </c>
      <c r="AT38" t="s">
        <v>101</v>
      </c>
      <c r="AU38">
        <v>5</v>
      </c>
      <c r="AV38" t="s">
        <v>50</v>
      </c>
      <c r="AX38">
        <v>9202</v>
      </c>
    </row>
    <row r="39" spans="1:50" x14ac:dyDescent="0.3">
      <c r="A39">
        <v>1340</v>
      </c>
      <c r="B39" t="s">
        <v>219</v>
      </c>
      <c r="C39">
        <v>22</v>
      </c>
      <c r="D39" t="s">
        <v>49</v>
      </c>
      <c r="E39" t="s">
        <v>50</v>
      </c>
      <c r="F39" t="s">
        <v>220</v>
      </c>
      <c r="G39" t="s">
        <v>52</v>
      </c>
      <c r="H39" t="s">
        <v>53</v>
      </c>
      <c r="I39">
        <v>111.7</v>
      </c>
      <c r="J39">
        <v>1.34</v>
      </c>
      <c r="K39">
        <v>62.2</v>
      </c>
      <c r="L39">
        <v>120</v>
      </c>
      <c r="M39">
        <v>88</v>
      </c>
      <c r="N39">
        <v>233</v>
      </c>
      <c r="O39">
        <v>122</v>
      </c>
      <c r="P39">
        <v>190</v>
      </c>
      <c r="Q39">
        <v>106</v>
      </c>
      <c r="R39">
        <v>98</v>
      </c>
      <c r="S39">
        <v>36.299999999999997</v>
      </c>
      <c r="T39" s="1">
        <v>45504</v>
      </c>
      <c r="U39" t="s">
        <v>167</v>
      </c>
      <c r="V39" t="s">
        <v>128</v>
      </c>
      <c r="W39" t="s">
        <v>56</v>
      </c>
      <c r="X39" t="s">
        <v>57</v>
      </c>
      <c r="Y39">
        <v>22</v>
      </c>
      <c r="Z39" t="s">
        <v>78</v>
      </c>
      <c r="AA39" t="s">
        <v>112</v>
      </c>
      <c r="AB39" s="1">
        <v>45712</v>
      </c>
      <c r="AC39" t="s">
        <v>60</v>
      </c>
      <c r="AD39" t="s">
        <v>60</v>
      </c>
      <c r="AE39" t="s">
        <v>79</v>
      </c>
      <c r="AF39" t="s">
        <v>63</v>
      </c>
      <c r="AG39" t="s">
        <v>113</v>
      </c>
      <c r="AH39" t="s">
        <v>81</v>
      </c>
      <c r="AI39" t="s">
        <v>61</v>
      </c>
      <c r="AJ39" t="s">
        <v>60</v>
      </c>
      <c r="AL39">
        <v>1490.77</v>
      </c>
      <c r="AM39">
        <v>1257.6500000000001</v>
      </c>
      <c r="AN39">
        <v>2130.2199999999998</v>
      </c>
      <c r="AO39">
        <v>0</v>
      </c>
      <c r="AP39">
        <v>3387.87</v>
      </c>
      <c r="AQ39" t="s">
        <v>114</v>
      </c>
      <c r="AR39" t="s">
        <v>61</v>
      </c>
      <c r="AS39" t="s">
        <v>61</v>
      </c>
      <c r="AT39" t="s">
        <v>101</v>
      </c>
      <c r="AU39">
        <v>2</v>
      </c>
      <c r="AV39" t="s">
        <v>50</v>
      </c>
      <c r="AX39">
        <v>10560</v>
      </c>
    </row>
    <row r="40" spans="1:50" x14ac:dyDescent="0.3">
      <c r="A40">
        <v>1341</v>
      </c>
      <c r="B40" t="s">
        <v>221</v>
      </c>
      <c r="C40">
        <v>64</v>
      </c>
      <c r="D40" t="s">
        <v>103</v>
      </c>
      <c r="E40" t="s">
        <v>50</v>
      </c>
      <c r="F40" t="s">
        <v>222</v>
      </c>
      <c r="G40" t="s">
        <v>87</v>
      </c>
      <c r="H40" t="s">
        <v>52</v>
      </c>
      <c r="I40">
        <v>18</v>
      </c>
      <c r="J40">
        <v>1.66</v>
      </c>
      <c r="K40">
        <v>6.5</v>
      </c>
      <c r="L40">
        <v>109</v>
      </c>
      <c r="M40">
        <v>78</v>
      </c>
      <c r="N40">
        <v>154</v>
      </c>
      <c r="O40">
        <v>154</v>
      </c>
      <c r="P40">
        <v>112</v>
      </c>
      <c r="Q40">
        <v>67</v>
      </c>
      <c r="R40">
        <v>92</v>
      </c>
      <c r="S40">
        <v>35.6</v>
      </c>
      <c r="T40" s="1">
        <v>45551</v>
      </c>
      <c r="U40" t="s">
        <v>223</v>
      </c>
      <c r="V40" t="s">
        <v>224</v>
      </c>
      <c r="W40" t="s">
        <v>56</v>
      </c>
      <c r="X40" t="s">
        <v>57</v>
      </c>
      <c r="Y40">
        <v>12</v>
      </c>
      <c r="Z40" t="s">
        <v>58</v>
      </c>
      <c r="AA40" t="s">
        <v>59</v>
      </c>
      <c r="AB40" s="1">
        <v>45340</v>
      </c>
      <c r="AC40" t="s">
        <v>60</v>
      </c>
      <c r="AD40" t="s">
        <v>60</v>
      </c>
      <c r="AE40" t="s">
        <v>62</v>
      </c>
      <c r="AF40" t="s">
        <v>63</v>
      </c>
      <c r="AG40" t="s">
        <v>113</v>
      </c>
      <c r="AH40" t="s">
        <v>81</v>
      </c>
      <c r="AI40" t="s">
        <v>60</v>
      </c>
      <c r="AJ40" t="s">
        <v>61</v>
      </c>
      <c r="AL40">
        <v>1141.28</v>
      </c>
      <c r="AM40">
        <v>1922.1</v>
      </c>
      <c r="AN40">
        <v>1072.56</v>
      </c>
      <c r="AO40">
        <v>0</v>
      </c>
      <c r="AP40">
        <v>2994.66</v>
      </c>
      <c r="AQ40" t="s">
        <v>82</v>
      </c>
      <c r="AR40" t="s">
        <v>60</v>
      </c>
      <c r="AS40" t="s">
        <v>60</v>
      </c>
      <c r="AT40" t="s">
        <v>83</v>
      </c>
      <c r="AU40">
        <v>3</v>
      </c>
      <c r="AV40" t="s">
        <v>50</v>
      </c>
      <c r="AX40">
        <v>8502</v>
      </c>
    </row>
    <row r="41" spans="1:50" x14ac:dyDescent="0.3">
      <c r="A41">
        <v>1342</v>
      </c>
      <c r="B41" t="s">
        <v>225</v>
      </c>
      <c r="C41">
        <v>73</v>
      </c>
      <c r="D41" t="s">
        <v>49</v>
      </c>
      <c r="E41" t="s">
        <v>50</v>
      </c>
      <c r="F41" t="s">
        <v>85</v>
      </c>
      <c r="G41" t="s">
        <v>52</v>
      </c>
      <c r="H41" t="s">
        <v>94</v>
      </c>
      <c r="I41">
        <v>85.3</v>
      </c>
      <c r="J41">
        <v>1.39</v>
      </c>
      <c r="K41">
        <v>44.1</v>
      </c>
      <c r="L41">
        <v>148</v>
      </c>
      <c r="M41">
        <v>72</v>
      </c>
      <c r="N41">
        <v>218</v>
      </c>
      <c r="O41">
        <v>275</v>
      </c>
      <c r="P41">
        <v>267</v>
      </c>
      <c r="Q41">
        <v>65</v>
      </c>
      <c r="R41">
        <v>95</v>
      </c>
      <c r="S41">
        <v>36.1</v>
      </c>
      <c r="T41" s="1">
        <v>45454</v>
      </c>
      <c r="U41" t="s">
        <v>122</v>
      </c>
      <c r="V41" t="s">
        <v>226</v>
      </c>
      <c r="W41" t="s">
        <v>56</v>
      </c>
      <c r="X41" t="s">
        <v>57</v>
      </c>
      <c r="Y41">
        <v>26</v>
      </c>
      <c r="Z41" t="s">
        <v>78</v>
      </c>
      <c r="AA41" t="s">
        <v>112</v>
      </c>
      <c r="AB41" s="1">
        <v>45307</v>
      </c>
      <c r="AC41" t="s">
        <v>61</v>
      </c>
      <c r="AD41" t="s">
        <v>60</v>
      </c>
      <c r="AE41" t="s">
        <v>79</v>
      </c>
      <c r="AF41" t="s">
        <v>63</v>
      </c>
      <c r="AG41" t="s">
        <v>80</v>
      </c>
      <c r="AH41" t="s">
        <v>60</v>
      </c>
      <c r="AI41" t="s">
        <v>61</v>
      </c>
      <c r="AJ41" t="s">
        <v>61</v>
      </c>
      <c r="AL41">
        <v>1111.5999999999999</v>
      </c>
      <c r="AM41">
        <v>973.18</v>
      </c>
      <c r="AN41">
        <v>380.96</v>
      </c>
      <c r="AO41">
        <v>0</v>
      </c>
      <c r="AP41">
        <v>1354.14</v>
      </c>
      <c r="AQ41" t="s">
        <v>91</v>
      </c>
      <c r="AR41" t="s">
        <v>60</v>
      </c>
      <c r="AS41" t="s">
        <v>61</v>
      </c>
      <c r="AT41" t="s">
        <v>58</v>
      </c>
      <c r="AU41">
        <v>2</v>
      </c>
      <c r="AV41" t="s">
        <v>50</v>
      </c>
      <c r="AX41">
        <v>10656</v>
      </c>
    </row>
    <row r="42" spans="1:50" x14ac:dyDescent="0.3">
      <c r="A42">
        <v>1343</v>
      </c>
      <c r="B42" t="s">
        <v>227</v>
      </c>
      <c r="C42">
        <v>63</v>
      </c>
      <c r="D42" t="s">
        <v>103</v>
      </c>
      <c r="E42" t="s">
        <v>50</v>
      </c>
      <c r="F42" t="s">
        <v>228</v>
      </c>
      <c r="G42" t="s">
        <v>87</v>
      </c>
      <c r="H42" t="s">
        <v>68</v>
      </c>
      <c r="I42">
        <v>55</v>
      </c>
      <c r="J42">
        <v>1.55</v>
      </c>
      <c r="K42">
        <v>22.9</v>
      </c>
      <c r="L42">
        <v>135</v>
      </c>
      <c r="M42">
        <v>62</v>
      </c>
      <c r="N42">
        <v>126</v>
      </c>
      <c r="O42">
        <v>256</v>
      </c>
      <c r="P42">
        <v>144</v>
      </c>
      <c r="Q42">
        <v>105</v>
      </c>
      <c r="R42">
        <v>98</v>
      </c>
      <c r="S42">
        <v>39.200000000000003</v>
      </c>
      <c r="T42" s="1">
        <v>45388</v>
      </c>
      <c r="U42" t="s">
        <v>229</v>
      </c>
      <c r="V42" t="s">
        <v>230</v>
      </c>
      <c r="W42" t="s">
        <v>56</v>
      </c>
      <c r="X42" t="s">
        <v>57</v>
      </c>
      <c r="Y42">
        <v>25</v>
      </c>
      <c r="Z42" t="s">
        <v>71</v>
      </c>
      <c r="AA42" t="s">
        <v>59</v>
      </c>
      <c r="AB42" s="1">
        <v>45363</v>
      </c>
      <c r="AC42" t="s">
        <v>60</v>
      </c>
      <c r="AD42" t="s">
        <v>60</v>
      </c>
      <c r="AE42" t="s">
        <v>72</v>
      </c>
      <c r="AF42" t="s">
        <v>63</v>
      </c>
      <c r="AG42" t="s">
        <v>100</v>
      </c>
      <c r="AH42" t="s">
        <v>60</v>
      </c>
      <c r="AI42" t="s">
        <v>61</v>
      </c>
      <c r="AJ42" t="s">
        <v>60</v>
      </c>
      <c r="AL42">
        <v>893.44</v>
      </c>
      <c r="AM42">
        <v>1550.72</v>
      </c>
      <c r="AN42">
        <v>412.68</v>
      </c>
      <c r="AO42">
        <v>0</v>
      </c>
      <c r="AP42">
        <v>1963.4</v>
      </c>
      <c r="AQ42" t="s">
        <v>91</v>
      </c>
      <c r="AR42" t="s">
        <v>60</v>
      </c>
      <c r="AS42" t="s">
        <v>61</v>
      </c>
      <c r="AT42" t="s">
        <v>58</v>
      </c>
      <c r="AU42">
        <v>2</v>
      </c>
      <c r="AV42" t="s">
        <v>50</v>
      </c>
      <c r="AX42">
        <v>8370</v>
      </c>
    </row>
    <row r="43" spans="1:50" x14ac:dyDescent="0.3">
      <c r="A43">
        <v>1344</v>
      </c>
      <c r="B43" t="s">
        <v>231</v>
      </c>
      <c r="C43">
        <v>1</v>
      </c>
      <c r="D43" t="s">
        <v>49</v>
      </c>
      <c r="E43" t="s">
        <v>50</v>
      </c>
      <c r="F43" t="s">
        <v>175</v>
      </c>
      <c r="G43" t="s">
        <v>68</v>
      </c>
      <c r="H43" t="s">
        <v>87</v>
      </c>
      <c r="I43">
        <v>110</v>
      </c>
      <c r="J43">
        <v>1.28</v>
      </c>
      <c r="K43">
        <v>67.099999999999994</v>
      </c>
      <c r="L43">
        <v>120</v>
      </c>
      <c r="M43">
        <v>84</v>
      </c>
      <c r="N43">
        <v>109</v>
      </c>
      <c r="O43">
        <v>199</v>
      </c>
      <c r="P43">
        <v>314</v>
      </c>
      <c r="Q43">
        <v>81</v>
      </c>
      <c r="R43">
        <v>92</v>
      </c>
      <c r="S43">
        <v>38</v>
      </c>
      <c r="T43" s="1">
        <v>45317</v>
      </c>
      <c r="U43" t="s">
        <v>232</v>
      </c>
      <c r="V43" t="s">
        <v>189</v>
      </c>
      <c r="W43" t="s">
        <v>56</v>
      </c>
      <c r="X43" t="s">
        <v>57</v>
      </c>
      <c r="Y43">
        <v>25</v>
      </c>
      <c r="Z43" t="s">
        <v>58</v>
      </c>
      <c r="AA43" t="s">
        <v>112</v>
      </c>
      <c r="AB43" s="1">
        <v>45507</v>
      </c>
      <c r="AC43" t="s">
        <v>61</v>
      </c>
      <c r="AD43" t="s">
        <v>61</v>
      </c>
      <c r="AE43" t="s">
        <v>79</v>
      </c>
      <c r="AF43" t="s">
        <v>63</v>
      </c>
      <c r="AG43" t="s">
        <v>80</v>
      </c>
      <c r="AH43" t="s">
        <v>60</v>
      </c>
      <c r="AI43" t="s">
        <v>61</v>
      </c>
      <c r="AJ43" t="s">
        <v>60</v>
      </c>
      <c r="AL43">
        <v>834.82</v>
      </c>
      <c r="AM43">
        <v>885.21</v>
      </c>
      <c r="AN43">
        <v>1736.26</v>
      </c>
      <c r="AO43">
        <v>0</v>
      </c>
      <c r="AP43">
        <v>2621.47</v>
      </c>
      <c r="AQ43" t="s">
        <v>82</v>
      </c>
      <c r="AR43" t="s">
        <v>61</v>
      </c>
      <c r="AS43" t="s">
        <v>60</v>
      </c>
      <c r="AT43" t="s">
        <v>101</v>
      </c>
      <c r="AU43">
        <v>2</v>
      </c>
      <c r="AV43" t="s">
        <v>50</v>
      </c>
      <c r="AX43">
        <v>10080</v>
      </c>
    </row>
    <row r="44" spans="1:50" x14ac:dyDescent="0.3">
      <c r="A44">
        <v>1345</v>
      </c>
      <c r="B44" t="s">
        <v>233</v>
      </c>
      <c r="C44">
        <v>6</v>
      </c>
      <c r="D44" t="s">
        <v>49</v>
      </c>
      <c r="E44" t="s">
        <v>50</v>
      </c>
      <c r="F44" t="s">
        <v>104</v>
      </c>
      <c r="G44" t="s">
        <v>87</v>
      </c>
      <c r="H44" t="s">
        <v>52</v>
      </c>
      <c r="I44">
        <v>71.5</v>
      </c>
      <c r="J44">
        <v>1.79</v>
      </c>
      <c r="K44">
        <v>22.3</v>
      </c>
      <c r="L44">
        <v>105</v>
      </c>
      <c r="M44">
        <v>90</v>
      </c>
      <c r="N44">
        <v>108</v>
      </c>
      <c r="O44">
        <v>134</v>
      </c>
      <c r="P44">
        <v>196</v>
      </c>
      <c r="Q44">
        <v>95</v>
      </c>
      <c r="R44">
        <v>98</v>
      </c>
      <c r="S44">
        <v>37.9</v>
      </c>
      <c r="T44" s="1">
        <v>45551</v>
      </c>
      <c r="U44" t="s">
        <v>234</v>
      </c>
      <c r="V44" t="s">
        <v>95</v>
      </c>
      <c r="W44" t="s">
        <v>56</v>
      </c>
      <c r="X44" t="s">
        <v>57</v>
      </c>
      <c r="Y44">
        <v>16</v>
      </c>
      <c r="Z44" t="s">
        <v>58</v>
      </c>
      <c r="AA44" t="s">
        <v>107</v>
      </c>
      <c r="AB44" s="1">
        <v>45366</v>
      </c>
      <c r="AC44" t="s">
        <v>61</v>
      </c>
      <c r="AD44" t="s">
        <v>61</v>
      </c>
      <c r="AE44" t="s">
        <v>62</v>
      </c>
      <c r="AF44" t="s">
        <v>63</v>
      </c>
      <c r="AG44" t="s">
        <v>80</v>
      </c>
      <c r="AH44" t="s">
        <v>81</v>
      </c>
      <c r="AI44" t="s">
        <v>60</v>
      </c>
      <c r="AJ44" t="s">
        <v>60</v>
      </c>
      <c r="AL44">
        <v>1471.71</v>
      </c>
      <c r="AM44">
        <v>1650.84</v>
      </c>
      <c r="AN44">
        <v>1486.04</v>
      </c>
      <c r="AO44">
        <v>0</v>
      </c>
      <c r="AP44">
        <v>3136.88</v>
      </c>
      <c r="AQ44" t="s">
        <v>114</v>
      </c>
      <c r="AR44" t="s">
        <v>60</v>
      </c>
      <c r="AS44" t="s">
        <v>60</v>
      </c>
      <c r="AT44" t="s">
        <v>83</v>
      </c>
      <c r="AU44">
        <v>4</v>
      </c>
      <c r="AV44" t="s">
        <v>50</v>
      </c>
      <c r="AX44">
        <v>9450</v>
      </c>
    </row>
    <row r="45" spans="1:50" x14ac:dyDescent="0.3">
      <c r="A45">
        <v>1346</v>
      </c>
      <c r="B45" t="s">
        <v>235</v>
      </c>
      <c r="C45">
        <v>78</v>
      </c>
      <c r="D45" t="s">
        <v>103</v>
      </c>
      <c r="E45" t="s">
        <v>50</v>
      </c>
      <c r="F45" t="s">
        <v>163</v>
      </c>
      <c r="G45" t="s">
        <v>86</v>
      </c>
      <c r="H45" t="s">
        <v>94</v>
      </c>
      <c r="I45">
        <v>15</v>
      </c>
      <c r="J45">
        <v>1.55</v>
      </c>
      <c r="K45">
        <v>6.2</v>
      </c>
      <c r="L45">
        <v>127</v>
      </c>
      <c r="M45">
        <v>94</v>
      </c>
      <c r="N45">
        <v>176</v>
      </c>
      <c r="O45">
        <v>183</v>
      </c>
      <c r="P45">
        <v>80</v>
      </c>
      <c r="Q45">
        <v>86</v>
      </c>
      <c r="R45">
        <v>92</v>
      </c>
      <c r="S45">
        <v>39.200000000000003</v>
      </c>
      <c r="T45" s="1">
        <v>45410</v>
      </c>
      <c r="U45" t="s">
        <v>236</v>
      </c>
      <c r="V45" t="s">
        <v>237</v>
      </c>
      <c r="W45" t="s">
        <v>56</v>
      </c>
      <c r="X45" t="s">
        <v>57</v>
      </c>
      <c r="Y45">
        <v>14</v>
      </c>
      <c r="Z45" t="s">
        <v>71</v>
      </c>
      <c r="AA45" t="s">
        <v>112</v>
      </c>
      <c r="AB45" s="1">
        <v>45410</v>
      </c>
      <c r="AC45" t="s">
        <v>61</v>
      </c>
      <c r="AD45" t="s">
        <v>61</v>
      </c>
      <c r="AE45" t="s">
        <v>79</v>
      </c>
      <c r="AF45" t="s">
        <v>63</v>
      </c>
      <c r="AG45" t="s">
        <v>124</v>
      </c>
      <c r="AH45" t="s">
        <v>61</v>
      </c>
      <c r="AI45" t="s">
        <v>61</v>
      </c>
      <c r="AJ45" t="s">
        <v>60</v>
      </c>
      <c r="AL45">
        <v>1105.6400000000001</v>
      </c>
      <c r="AM45">
        <v>441.25</v>
      </c>
      <c r="AN45">
        <v>1980.82</v>
      </c>
      <c r="AO45">
        <v>0</v>
      </c>
      <c r="AP45">
        <v>2422.0700000000002</v>
      </c>
      <c r="AQ45" t="s">
        <v>82</v>
      </c>
      <c r="AR45" t="s">
        <v>61</v>
      </c>
      <c r="AS45" t="s">
        <v>61</v>
      </c>
      <c r="AT45" t="s">
        <v>101</v>
      </c>
      <c r="AU45">
        <v>1</v>
      </c>
      <c r="AV45" t="s">
        <v>50</v>
      </c>
      <c r="AX45">
        <v>11938</v>
      </c>
    </row>
    <row r="46" spans="1:50" x14ac:dyDescent="0.3">
      <c r="A46">
        <v>1347</v>
      </c>
      <c r="B46" t="s">
        <v>238</v>
      </c>
      <c r="C46">
        <v>21</v>
      </c>
      <c r="D46" t="s">
        <v>49</v>
      </c>
      <c r="E46" t="s">
        <v>50</v>
      </c>
      <c r="F46" t="s">
        <v>239</v>
      </c>
      <c r="G46" t="s">
        <v>52</v>
      </c>
      <c r="H46" t="s">
        <v>75</v>
      </c>
      <c r="I46">
        <v>56.1</v>
      </c>
      <c r="J46">
        <v>1.77</v>
      </c>
      <c r="K46">
        <v>17.899999999999999</v>
      </c>
      <c r="L46">
        <v>147</v>
      </c>
      <c r="M46">
        <v>85</v>
      </c>
      <c r="N46">
        <v>141</v>
      </c>
      <c r="O46">
        <v>201</v>
      </c>
      <c r="P46">
        <v>174</v>
      </c>
      <c r="Q46">
        <v>72</v>
      </c>
      <c r="R46">
        <v>99</v>
      </c>
      <c r="S46">
        <v>37.5</v>
      </c>
      <c r="T46" s="1">
        <v>45489</v>
      </c>
      <c r="U46" t="s">
        <v>240</v>
      </c>
      <c r="V46" t="s">
        <v>241</v>
      </c>
      <c r="W46" t="s">
        <v>56</v>
      </c>
      <c r="X46" t="s">
        <v>57</v>
      </c>
      <c r="Y46">
        <v>7</v>
      </c>
      <c r="Z46" t="s">
        <v>78</v>
      </c>
      <c r="AA46" t="s">
        <v>59</v>
      </c>
      <c r="AB46" s="1">
        <v>45330</v>
      </c>
      <c r="AC46" t="s">
        <v>60</v>
      </c>
      <c r="AD46" t="s">
        <v>60</v>
      </c>
      <c r="AE46" t="s">
        <v>62</v>
      </c>
      <c r="AF46" t="s">
        <v>63</v>
      </c>
      <c r="AG46" t="s">
        <v>113</v>
      </c>
      <c r="AH46" t="s">
        <v>60</v>
      </c>
      <c r="AI46" t="s">
        <v>60</v>
      </c>
      <c r="AJ46" t="s">
        <v>60</v>
      </c>
      <c r="AL46">
        <v>536.41999999999996</v>
      </c>
      <c r="AM46">
        <v>1753.45</v>
      </c>
      <c r="AN46">
        <v>2914.34</v>
      </c>
      <c r="AO46">
        <v>0</v>
      </c>
      <c r="AP46">
        <v>4667.79</v>
      </c>
      <c r="AQ46" t="s">
        <v>82</v>
      </c>
      <c r="AR46" t="s">
        <v>60</v>
      </c>
      <c r="AS46" t="s">
        <v>61</v>
      </c>
      <c r="AT46" t="s">
        <v>58</v>
      </c>
      <c r="AU46">
        <v>4</v>
      </c>
      <c r="AV46" t="s">
        <v>50</v>
      </c>
      <c r="AX46">
        <v>12495</v>
      </c>
    </row>
    <row r="47" spans="1:50" x14ac:dyDescent="0.3">
      <c r="A47">
        <v>1348</v>
      </c>
      <c r="B47" t="s">
        <v>242</v>
      </c>
      <c r="C47">
        <v>27</v>
      </c>
      <c r="D47" t="s">
        <v>103</v>
      </c>
      <c r="E47" t="s">
        <v>50</v>
      </c>
      <c r="F47" t="s">
        <v>243</v>
      </c>
      <c r="G47" t="s">
        <v>94</v>
      </c>
      <c r="H47" t="s">
        <v>75</v>
      </c>
      <c r="I47">
        <v>86.7</v>
      </c>
      <c r="J47">
        <v>1.48</v>
      </c>
      <c r="K47">
        <v>39.6</v>
      </c>
      <c r="L47">
        <v>120</v>
      </c>
      <c r="M47">
        <v>89</v>
      </c>
      <c r="N47">
        <v>71</v>
      </c>
      <c r="O47">
        <v>136</v>
      </c>
      <c r="P47">
        <v>258</v>
      </c>
      <c r="Q47">
        <v>88</v>
      </c>
      <c r="R47">
        <v>96</v>
      </c>
      <c r="S47">
        <v>36.6</v>
      </c>
      <c r="T47" s="1">
        <v>45294</v>
      </c>
      <c r="U47" t="s">
        <v>172</v>
      </c>
      <c r="V47" t="s">
        <v>226</v>
      </c>
      <c r="W47" t="s">
        <v>56</v>
      </c>
      <c r="X47" t="s">
        <v>57</v>
      </c>
      <c r="Y47">
        <v>9</v>
      </c>
      <c r="Z47" t="s">
        <v>71</v>
      </c>
      <c r="AA47" t="s">
        <v>107</v>
      </c>
      <c r="AB47" s="1">
        <v>45533</v>
      </c>
      <c r="AC47" t="s">
        <v>61</v>
      </c>
      <c r="AD47" t="s">
        <v>61</v>
      </c>
      <c r="AE47" t="s">
        <v>62</v>
      </c>
      <c r="AF47" t="s">
        <v>63</v>
      </c>
      <c r="AG47" t="s">
        <v>124</v>
      </c>
      <c r="AH47" t="s">
        <v>60</v>
      </c>
      <c r="AI47" t="s">
        <v>61</v>
      </c>
      <c r="AJ47" t="s">
        <v>61</v>
      </c>
      <c r="AL47">
        <v>1474.57</v>
      </c>
      <c r="AM47">
        <v>1597.14</v>
      </c>
      <c r="AN47">
        <v>2069.14</v>
      </c>
      <c r="AO47">
        <v>0</v>
      </c>
      <c r="AP47">
        <v>3666.28</v>
      </c>
      <c r="AQ47" t="s">
        <v>114</v>
      </c>
      <c r="AR47" t="s">
        <v>60</v>
      </c>
      <c r="AS47" t="s">
        <v>61</v>
      </c>
      <c r="AT47" t="s">
        <v>101</v>
      </c>
      <c r="AU47">
        <v>2</v>
      </c>
      <c r="AV47" t="s">
        <v>50</v>
      </c>
      <c r="AX47">
        <v>10680</v>
      </c>
    </row>
    <row r="48" spans="1:50" x14ac:dyDescent="0.3">
      <c r="A48">
        <v>1349</v>
      </c>
      <c r="B48" t="s">
        <v>244</v>
      </c>
      <c r="C48">
        <v>76</v>
      </c>
      <c r="D48" t="s">
        <v>49</v>
      </c>
      <c r="E48" t="s">
        <v>50</v>
      </c>
      <c r="F48" t="s">
        <v>187</v>
      </c>
      <c r="G48" t="s">
        <v>52</v>
      </c>
      <c r="H48" t="s">
        <v>94</v>
      </c>
      <c r="I48">
        <v>32.799999999999997</v>
      </c>
      <c r="J48">
        <v>1.43</v>
      </c>
      <c r="K48">
        <v>16</v>
      </c>
      <c r="L48">
        <v>128</v>
      </c>
      <c r="M48">
        <v>80</v>
      </c>
      <c r="N48">
        <v>100</v>
      </c>
      <c r="O48">
        <v>229</v>
      </c>
      <c r="P48">
        <v>91</v>
      </c>
      <c r="Q48">
        <v>91</v>
      </c>
      <c r="R48">
        <v>99</v>
      </c>
      <c r="S48">
        <v>38.5</v>
      </c>
      <c r="T48" s="1">
        <v>45608</v>
      </c>
      <c r="U48" t="s">
        <v>198</v>
      </c>
      <c r="V48" t="s">
        <v>245</v>
      </c>
      <c r="W48" t="s">
        <v>56</v>
      </c>
      <c r="X48" t="s">
        <v>57</v>
      </c>
      <c r="Y48">
        <v>19</v>
      </c>
      <c r="Z48" t="s">
        <v>78</v>
      </c>
      <c r="AA48" t="s">
        <v>107</v>
      </c>
      <c r="AB48" s="1">
        <v>45376</v>
      </c>
      <c r="AC48" t="s">
        <v>60</v>
      </c>
      <c r="AD48" t="s">
        <v>60</v>
      </c>
      <c r="AE48" t="s">
        <v>72</v>
      </c>
      <c r="AF48" t="s">
        <v>63</v>
      </c>
      <c r="AG48" t="s">
        <v>80</v>
      </c>
      <c r="AH48" t="s">
        <v>81</v>
      </c>
      <c r="AI48" t="s">
        <v>60</v>
      </c>
      <c r="AJ48" t="s">
        <v>60</v>
      </c>
      <c r="AL48">
        <v>309.5</v>
      </c>
      <c r="AM48">
        <v>559.35</v>
      </c>
      <c r="AN48">
        <v>2005.75</v>
      </c>
      <c r="AO48">
        <v>0</v>
      </c>
      <c r="AP48">
        <v>2565.1</v>
      </c>
      <c r="AQ48" t="s">
        <v>82</v>
      </c>
      <c r="AR48" t="s">
        <v>61</v>
      </c>
      <c r="AS48" t="s">
        <v>61</v>
      </c>
      <c r="AT48" t="s">
        <v>101</v>
      </c>
      <c r="AU48">
        <v>5</v>
      </c>
      <c r="AV48" t="s">
        <v>50</v>
      </c>
      <c r="AX48">
        <v>10240</v>
      </c>
    </row>
    <row r="49" spans="1:50" x14ac:dyDescent="0.3">
      <c r="A49">
        <v>1350</v>
      </c>
      <c r="B49" t="s">
        <v>246</v>
      </c>
      <c r="C49">
        <v>25</v>
      </c>
      <c r="D49" t="s">
        <v>49</v>
      </c>
      <c r="E49" t="s">
        <v>50</v>
      </c>
      <c r="F49" t="s">
        <v>116</v>
      </c>
      <c r="G49" t="s">
        <v>87</v>
      </c>
      <c r="H49" t="s">
        <v>86</v>
      </c>
      <c r="I49">
        <v>101.3</v>
      </c>
      <c r="J49">
        <v>1.39</v>
      </c>
      <c r="K49">
        <v>52.4</v>
      </c>
      <c r="L49">
        <v>119</v>
      </c>
      <c r="M49">
        <v>82</v>
      </c>
      <c r="N49">
        <v>236</v>
      </c>
      <c r="O49">
        <v>268</v>
      </c>
      <c r="P49">
        <v>298</v>
      </c>
      <c r="Q49">
        <v>94</v>
      </c>
      <c r="R49">
        <v>95</v>
      </c>
      <c r="S49">
        <v>37.1</v>
      </c>
      <c r="T49" s="1">
        <v>45426</v>
      </c>
      <c r="U49" t="s">
        <v>247</v>
      </c>
      <c r="V49" t="s">
        <v>248</v>
      </c>
      <c r="W49" t="s">
        <v>56</v>
      </c>
      <c r="X49" t="s">
        <v>57</v>
      </c>
      <c r="Y49">
        <v>22</v>
      </c>
      <c r="Z49" t="s">
        <v>71</v>
      </c>
      <c r="AA49" t="s">
        <v>59</v>
      </c>
      <c r="AB49" s="1">
        <v>45554</v>
      </c>
      <c r="AC49" t="s">
        <v>61</v>
      </c>
      <c r="AD49" t="s">
        <v>61</v>
      </c>
      <c r="AE49" t="s">
        <v>62</v>
      </c>
      <c r="AF49" t="s">
        <v>63</v>
      </c>
      <c r="AG49" t="s">
        <v>100</v>
      </c>
      <c r="AH49" t="s">
        <v>61</v>
      </c>
      <c r="AI49" t="s">
        <v>60</v>
      </c>
      <c r="AJ49" t="s">
        <v>61</v>
      </c>
      <c r="AL49">
        <v>918.21</v>
      </c>
      <c r="AM49">
        <v>1003.16</v>
      </c>
      <c r="AN49">
        <v>316.68</v>
      </c>
      <c r="AO49">
        <v>0</v>
      </c>
      <c r="AP49">
        <v>1319.84</v>
      </c>
      <c r="AQ49" t="s">
        <v>82</v>
      </c>
      <c r="AR49" t="s">
        <v>60</v>
      </c>
      <c r="AS49" t="s">
        <v>61</v>
      </c>
      <c r="AT49" t="s">
        <v>58</v>
      </c>
      <c r="AU49">
        <v>4</v>
      </c>
      <c r="AV49" t="s">
        <v>50</v>
      </c>
      <c r="AX49">
        <v>9758</v>
      </c>
    </row>
    <row r="50" spans="1:50" x14ac:dyDescent="0.3">
      <c r="A50">
        <v>1351</v>
      </c>
      <c r="B50" t="s">
        <v>249</v>
      </c>
      <c r="C50">
        <v>73</v>
      </c>
      <c r="D50" t="s">
        <v>103</v>
      </c>
      <c r="E50" t="s">
        <v>50</v>
      </c>
      <c r="F50" t="s">
        <v>149</v>
      </c>
      <c r="G50" t="s">
        <v>53</v>
      </c>
      <c r="H50" t="s">
        <v>87</v>
      </c>
      <c r="I50">
        <v>99.6</v>
      </c>
      <c r="J50">
        <v>1.08</v>
      </c>
      <c r="K50">
        <v>85.4</v>
      </c>
      <c r="L50">
        <v>137</v>
      </c>
      <c r="M50">
        <v>87</v>
      </c>
      <c r="N50">
        <v>218</v>
      </c>
      <c r="O50">
        <v>150</v>
      </c>
      <c r="P50">
        <v>323</v>
      </c>
      <c r="Q50">
        <v>99</v>
      </c>
      <c r="R50">
        <v>96</v>
      </c>
      <c r="S50">
        <v>37.9</v>
      </c>
      <c r="T50" s="1">
        <v>45402</v>
      </c>
      <c r="U50" t="s">
        <v>76</v>
      </c>
      <c r="V50" t="s">
        <v>250</v>
      </c>
      <c r="W50" t="s">
        <v>56</v>
      </c>
      <c r="X50" t="s">
        <v>57</v>
      </c>
      <c r="Y50">
        <v>29</v>
      </c>
      <c r="Z50" t="s">
        <v>58</v>
      </c>
      <c r="AA50" t="s">
        <v>107</v>
      </c>
      <c r="AB50" s="1">
        <v>45653</v>
      </c>
      <c r="AC50" t="s">
        <v>60</v>
      </c>
      <c r="AD50" t="s">
        <v>61</v>
      </c>
      <c r="AE50" t="s">
        <v>72</v>
      </c>
      <c r="AF50" t="s">
        <v>63</v>
      </c>
      <c r="AG50" t="s">
        <v>113</v>
      </c>
      <c r="AH50" t="s">
        <v>60</v>
      </c>
      <c r="AI50" t="s">
        <v>61</v>
      </c>
      <c r="AJ50" t="s">
        <v>61</v>
      </c>
      <c r="AL50">
        <v>874.36</v>
      </c>
      <c r="AM50">
        <v>567.33000000000004</v>
      </c>
      <c r="AN50">
        <v>1610.37</v>
      </c>
      <c r="AO50">
        <v>0</v>
      </c>
      <c r="AP50">
        <v>2177.6999999999998</v>
      </c>
      <c r="AQ50" t="s">
        <v>65</v>
      </c>
      <c r="AR50" t="s">
        <v>60</v>
      </c>
      <c r="AS50" t="s">
        <v>60</v>
      </c>
      <c r="AT50" t="s">
        <v>58</v>
      </c>
      <c r="AU50">
        <v>3</v>
      </c>
      <c r="AV50" t="s">
        <v>50</v>
      </c>
      <c r="AX50">
        <v>11919</v>
      </c>
    </row>
    <row r="51" spans="1:50" x14ac:dyDescent="0.3">
      <c r="A51">
        <v>1352</v>
      </c>
      <c r="B51" t="s">
        <v>251</v>
      </c>
      <c r="C51">
        <v>25</v>
      </c>
      <c r="D51" t="s">
        <v>103</v>
      </c>
      <c r="E51" t="s">
        <v>50</v>
      </c>
      <c r="F51" t="s">
        <v>216</v>
      </c>
      <c r="G51" t="s">
        <v>87</v>
      </c>
      <c r="H51" t="s">
        <v>68</v>
      </c>
      <c r="I51">
        <v>21.7</v>
      </c>
      <c r="J51">
        <v>1.18</v>
      </c>
      <c r="K51">
        <v>15.6</v>
      </c>
      <c r="L51">
        <v>92</v>
      </c>
      <c r="M51">
        <v>63</v>
      </c>
      <c r="N51">
        <v>233</v>
      </c>
      <c r="O51">
        <v>253</v>
      </c>
      <c r="P51">
        <v>278</v>
      </c>
      <c r="Q51">
        <v>64</v>
      </c>
      <c r="R51">
        <v>94</v>
      </c>
      <c r="S51">
        <v>36.299999999999997</v>
      </c>
      <c r="T51" s="1">
        <v>45328</v>
      </c>
      <c r="U51" t="s">
        <v>252</v>
      </c>
      <c r="V51" t="s">
        <v>253</v>
      </c>
      <c r="W51" t="s">
        <v>56</v>
      </c>
      <c r="X51" t="s">
        <v>57</v>
      </c>
      <c r="Y51">
        <v>12</v>
      </c>
      <c r="Z51" t="s">
        <v>58</v>
      </c>
      <c r="AA51" t="s">
        <v>112</v>
      </c>
      <c r="AB51" s="1">
        <v>45439</v>
      </c>
      <c r="AC51" t="s">
        <v>60</v>
      </c>
      <c r="AD51" t="s">
        <v>60</v>
      </c>
      <c r="AE51" t="s">
        <v>62</v>
      </c>
      <c r="AF51" t="s">
        <v>63</v>
      </c>
      <c r="AG51" t="s">
        <v>124</v>
      </c>
      <c r="AH51" t="s">
        <v>60</v>
      </c>
      <c r="AI51" t="s">
        <v>60</v>
      </c>
      <c r="AJ51" t="s">
        <v>60</v>
      </c>
      <c r="AL51">
        <v>354.76</v>
      </c>
      <c r="AM51">
        <v>1037.17</v>
      </c>
      <c r="AN51">
        <v>1401.62</v>
      </c>
      <c r="AO51">
        <v>0</v>
      </c>
      <c r="AP51">
        <v>2438.79</v>
      </c>
      <c r="AQ51" t="s">
        <v>114</v>
      </c>
      <c r="AR51" t="s">
        <v>61</v>
      </c>
      <c r="AS51" t="s">
        <v>60</v>
      </c>
      <c r="AT51" t="s">
        <v>101</v>
      </c>
      <c r="AU51">
        <v>1</v>
      </c>
      <c r="AV51" t="s">
        <v>50</v>
      </c>
      <c r="AX51">
        <v>5796</v>
      </c>
    </row>
    <row r="52" spans="1:50" x14ac:dyDescent="0.3">
      <c r="A52">
        <v>1353</v>
      </c>
      <c r="B52" t="s">
        <v>254</v>
      </c>
      <c r="C52">
        <v>16</v>
      </c>
      <c r="D52" t="s">
        <v>103</v>
      </c>
      <c r="E52" t="s">
        <v>50</v>
      </c>
      <c r="F52" t="s">
        <v>85</v>
      </c>
      <c r="G52" t="s">
        <v>94</v>
      </c>
      <c r="H52" t="s">
        <v>94</v>
      </c>
      <c r="I52">
        <v>43.1</v>
      </c>
      <c r="J52">
        <v>1.28</v>
      </c>
      <c r="K52">
        <v>26.3</v>
      </c>
      <c r="L52">
        <v>92</v>
      </c>
      <c r="M52">
        <v>70</v>
      </c>
      <c r="N52">
        <v>72</v>
      </c>
      <c r="O52">
        <v>297</v>
      </c>
      <c r="P52">
        <v>313</v>
      </c>
      <c r="Q52">
        <v>106</v>
      </c>
      <c r="R52">
        <v>95</v>
      </c>
      <c r="S52">
        <v>36.799999999999997</v>
      </c>
      <c r="T52" s="1">
        <v>45476</v>
      </c>
      <c r="U52" t="s">
        <v>142</v>
      </c>
      <c r="V52" t="s">
        <v>89</v>
      </c>
      <c r="W52" t="s">
        <v>56</v>
      </c>
      <c r="X52" t="s">
        <v>57</v>
      </c>
      <c r="Y52">
        <v>8</v>
      </c>
      <c r="Z52" t="s">
        <v>71</v>
      </c>
      <c r="AA52" t="s">
        <v>107</v>
      </c>
      <c r="AB52" s="1">
        <v>45369</v>
      </c>
      <c r="AC52" t="s">
        <v>61</v>
      </c>
      <c r="AD52" t="s">
        <v>61</v>
      </c>
      <c r="AE52" t="s">
        <v>79</v>
      </c>
      <c r="AF52" t="s">
        <v>63</v>
      </c>
      <c r="AG52" t="s">
        <v>113</v>
      </c>
      <c r="AH52" t="s">
        <v>81</v>
      </c>
      <c r="AI52" t="s">
        <v>61</v>
      </c>
      <c r="AJ52" t="s">
        <v>60</v>
      </c>
      <c r="AL52">
        <v>1352.15</v>
      </c>
      <c r="AM52">
        <v>323.61</v>
      </c>
      <c r="AN52">
        <v>2647.82</v>
      </c>
      <c r="AO52">
        <v>0</v>
      </c>
      <c r="AP52">
        <v>2971.43</v>
      </c>
      <c r="AQ52" t="s">
        <v>82</v>
      </c>
      <c r="AR52" t="s">
        <v>60</v>
      </c>
      <c r="AS52" t="s">
        <v>61</v>
      </c>
      <c r="AT52" t="s">
        <v>58</v>
      </c>
      <c r="AU52">
        <v>1</v>
      </c>
      <c r="AV52" t="s">
        <v>50</v>
      </c>
      <c r="AX52">
        <v>6440</v>
      </c>
    </row>
    <row r="53" spans="1:50" x14ac:dyDescent="0.3">
      <c r="A53">
        <v>1354</v>
      </c>
      <c r="B53" t="s">
        <v>255</v>
      </c>
      <c r="C53">
        <v>40</v>
      </c>
      <c r="D53" t="s">
        <v>49</v>
      </c>
      <c r="E53" t="s">
        <v>50</v>
      </c>
      <c r="F53" t="s">
        <v>216</v>
      </c>
      <c r="G53" t="s">
        <v>75</v>
      </c>
      <c r="H53" t="s">
        <v>86</v>
      </c>
      <c r="I53">
        <v>84.8</v>
      </c>
      <c r="J53">
        <v>1.52</v>
      </c>
      <c r="K53">
        <v>36.700000000000003</v>
      </c>
      <c r="L53">
        <v>127</v>
      </c>
      <c r="M53">
        <v>78</v>
      </c>
      <c r="N53">
        <v>107</v>
      </c>
      <c r="O53">
        <v>166</v>
      </c>
      <c r="P53">
        <v>233</v>
      </c>
      <c r="Q53">
        <v>84</v>
      </c>
      <c r="R53">
        <v>92</v>
      </c>
      <c r="S53">
        <v>38</v>
      </c>
      <c r="T53" s="1">
        <v>45340</v>
      </c>
      <c r="U53" t="s">
        <v>256</v>
      </c>
      <c r="V53" t="s">
        <v>257</v>
      </c>
      <c r="W53" t="s">
        <v>56</v>
      </c>
      <c r="X53" t="s">
        <v>57</v>
      </c>
      <c r="Y53">
        <v>25</v>
      </c>
      <c r="Z53" t="s">
        <v>71</v>
      </c>
      <c r="AA53" t="s">
        <v>59</v>
      </c>
      <c r="AB53" s="1">
        <v>45350</v>
      </c>
      <c r="AC53" t="s">
        <v>61</v>
      </c>
      <c r="AD53" t="s">
        <v>60</v>
      </c>
      <c r="AE53" t="s">
        <v>62</v>
      </c>
      <c r="AF53" t="s">
        <v>63</v>
      </c>
      <c r="AG53" t="s">
        <v>100</v>
      </c>
      <c r="AH53" t="s">
        <v>81</v>
      </c>
      <c r="AI53" t="s">
        <v>61</v>
      </c>
      <c r="AJ53" t="s">
        <v>60</v>
      </c>
      <c r="AL53">
        <v>401.19</v>
      </c>
      <c r="AM53">
        <v>1549.86</v>
      </c>
      <c r="AN53">
        <v>2807.42</v>
      </c>
      <c r="AO53">
        <v>0</v>
      </c>
      <c r="AP53">
        <v>4357.28</v>
      </c>
      <c r="AQ53" t="s">
        <v>82</v>
      </c>
      <c r="AR53" t="s">
        <v>60</v>
      </c>
      <c r="AS53" t="s">
        <v>60</v>
      </c>
      <c r="AT53" t="s">
        <v>101</v>
      </c>
      <c r="AU53">
        <v>3</v>
      </c>
      <c r="AV53" t="s">
        <v>50</v>
      </c>
      <c r="AX53">
        <v>9906</v>
      </c>
    </row>
    <row r="54" spans="1:50" x14ac:dyDescent="0.3">
      <c r="A54">
        <v>1355</v>
      </c>
      <c r="B54" t="s">
        <v>258</v>
      </c>
      <c r="C54">
        <v>70</v>
      </c>
      <c r="D54" t="s">
        <v>49</v>
      </c>
      <c r="E54" t="s">
        <v>50</v>
      </c>
      <c r="F54" t="s">
        <v>228</v>
      </c>
      <c r="G54" t="s">
        <v>86</v>
      </c>
      <c r="H54" t="s">
        <v>117</v>
      </c>
      <c r="I54">
        <v>72.8</v>
      </c>
      <c r="J54">
        <v>1.64</v>
      </c>
      <c r="K54">
        <v>27.1</v>
      </c>
      <c r="L54">
        <v>111</v>
      </c>
      <c r="M54">
        <v>95</v>
      </c>
      <c r="N54">
        <v>173</v>
      </c>
      <c r="O54">
        <v>285</v>
      </c>
      <c r="P54">
        <v>271</v>
      </c>
      <c r="Q54">
        <v>80</v>
      </c>
      <c r="R54">
        <v>92</v>
      </c>
      <c r="S54">
        <v>38.5</v>
      </c>
      <c r="T54" s="1">
        <v>45445</v>
      </c>
      <c r="U54" t="s">
        <v>259</v>
      </c>
      <c r="V54" t="s">
        <v>260</v>
      </c>
      <c r="W54" t="s">
        <v>56</v>
      </c>
      <c r="X54" t="s">
        <v>57</v>
      </c>
      <c r="Y54">
        <v>12</v>
      </c>
      <c r="Z54" t="s">
        <v>71</v>
      </c>
      <c r="AA54" t="s">
        <v>59</v>
      </c>
      <c r="AB54" s="1">
        <v>45439</v>
      </c>
      <c r="AC54" t="s">
        <v>60</v>
      </c>
      <c r="AD54" t="s">
        <v>60</v>
      </c>
      <c r="AE54" t="s">
        <v>62</v>
      </c>
      <c r="AF54" t="s">
        <v>63</v>
      </c>
      <c r="AG54" t="s">
        <v>64</v>
      </c>
      <c r="AH54" t="s">
        <v>60</v>
      </c>
      <c r="AI54" t="s">
        <v>61</v>
      </c>
      <c r="AJ54" t="s">
        <v>60</v>
      </c>
      <c r="AL54">
        <v>1023.18</v>
      </c>
      <c r="AM54">
        <v>1133.58</v>
      </c>
      <c r="AN54">
        <v>1171.5999999999999</v>
      </c>
      <c r="AO54">
        <v>0</v>
      </c>
      <c r="AP54">
        <v>2305.1799999999998</v>
      </c>
      <c r="AQ54" t="s">
        <v>82</v>
      </c>
      <c r="AR54" t="s">
        <v>60</v>
      </c>
      <c r="AS54" t="s">
        <v>60</v>
      </c>
      <c r="AT54" t="s">
        <v>83</v>
      </c>
      <c r="AU54">
        <v>2</v>
      </c>
      <c r="AV54" t="s">
        <v>50</v>
      </c>
      <c r="AX54">
        <v>10545</v>
      </c>
    </row>
    <row r="55" spans="1:50" x14ac:dyDescent="0.3">
      <c r="A55">
        <v>1356</v>
      </c>
      <c r="B55" t="s">
        <v>261</v>
      </c>
      <c r="C55">
        <v>74</v>
      </c>
      <c r="D55" t="s">
        <v>103</v>
      </c>
      <c r="E55" t="s">
        <v>50</v>
      </c>
      <c r="F55" t="s">
        <v>262</v>
      </c>
      <c r="G55" t="s">
        <v>52</v>
      </c>
      <c r="H55" t="s">
        <v>117</v>
      </c>
      <c r="I55">
        <v>25.6</v>
      </c>
      <c r="J55">
        <v>1.58</v>
      </c>
      <c r="K55">
        <v>10.3</v>
      </c>
      <c r="L55">
        <v>123</v>
      </c>
      <c r="M55">
        <v>69</v>
      </c>
      <c r="N55">
        <v>135</v>
      </c>
      <c r="O55">
        <v>160</v>
      </c>
      <c r="P55">
        <v>273</v>
      </c>
      <c r="Q55">
        <v>60</v>
      </c>
      <c r="R55">
        <v>100</v>
      </c>
      <c r="S55">
        <v>36.6</v>
      </c>
      <c r="T55" s="1">
        <v>45344</v>
      </c>
      <c r="U55" t="s">
        <v>263</v>
      </c>
      <c r="V55" t="s">
        <v>55</v>
      </c>
      <c r="W55" t="s">
        <v>56</v>
      </c>
      <c r="X55" t="s">
        <v>57</v>
      </c>
      <c r="Y55">
        <v>16</v>
      </c>
      <c r="Z55" t="s">
        <v>78</v>
      </c>
      <c r="AA55" t="s">
        <v>59</v>
      </c>
      <c r="AB55" s="1">
        <v>45636</v>
      </c>
      <c r="AC55" t="s">
        <v>61</v>
      </c>
      <c r="AD55" t="s">
        <v>61</v>
      </c>
      <c r="AE55" t="s">
        <v>62</v>
      </c>
      <c r="AF55" t="s">
        <v>63</v>
      </c>
      <c r="AG55" t="s">
        <v>100</v>
      </c>
      <c r="AH55" t="s">
        <v>81</v>
      </c>
      <c r="AI55" t="s">
        <v>61</v>
      </c>
      <c r="AJ55" t="s">
        <v>61</v>
      </c>
      <c r="AL55">
        <v>1088.5999999999999</v>
      </c>
      <c r="AM55">
        <v>973.08</v>
      </c>
      <c r="AN55">
        <v>1834.68</v>
      </c>
      <c r="AO55">
        <v>0</v>
      </c>
      <c r="AP55">
        <v>2807.76</v>
      </c>
      <c r="AQ55" t="s">
        <v>114</v>
      </c>
      <c r="AR55" t="s">
        <v>61</v>
      </c>
      <c r="AS55" t="s">
        <v>60</v>
      </c>
      <c r="AT55" t="s">
        <v>58</v>
      </c>
      <c r="AU55">
        <v>1</v>
      </c>
      <c r="AV55" t="s">
        <v>50</v>
      </c>
      <c r="AX55">
        <v>8487</v>
      </c>
    </row>
    <row r="56" spans="1:50" x14ac:dyDescent="0.3">
      <c r="A56">
        <v>1357</v>
      </c>
      <c r="B56" t="s">
        <v>264</v>
      </c>
      <c r="C56">
        <v>7</v>
      </c>
      <c r="D56" t="s">
        <v>103</v>
      </c>
      <c r="E56" t="s">
        <v>50</v>
      </c>
      <c r="F56" t="s">
        <v>67</v>
      </c>
      <c r="G56" t="s">
        <v>68</v>
      </c>
      <c r="H56" t="s">
        <v>94</v>
      </c>
      <c r="I56">
        <v>97.5</v>
      </c>
      <c r="J56">
        <v>1.75</v>
      </c>
      <c r="K56">
        <v>31.8</v>
      </c>
      <c r="L56">
        <v>93</v>
      </c>
      <c r="M56">
        <v>66</v>
      </c>
      <c r="N56">
        <v>154</v>
      </c>
      <c r="O56">
        <v>161</v>
      </c>
      <c r="P56">
        <v>202</v>
      </c>
      <c r="Q56">
        <v>101</v>
      </c>
      <c r="R56">
        <v>99</v>
      </c>
      <c r="S56">
        <v>36.799999999999997</v>
      </c>
      <c r="T56" s="1">
        <v>45349</v>
      </c>
      <c r="U56" t="s">
        <v>265</v>
      </c>
      <c r="V56" t="s">
        <v>196</v>
      </c>
      <c r="W56" t="s">
        <v>56</v>
      </c>
      <c r="X56" t="s">
        <v>57</v>
      </c>
      <c r="Y56">
        <v>17</v>
      </c>
      <c r="Z56" t="s">
        <v>71</v>
      </c>
      <c r="AA56" t="s">
        <v>107</v>
      </c>
      <c r="AB56" s="1">
        <v>45559</v>
      </c>
      <c r="AC56" t="s">
        <v>60</v>
      </c>
      <c r="AD56" t="s">
        <v>61</v>
      </c>
      <c r="AE56" t="s">
        <v>62</v>
      </c>
      <c r="AF56" t="s">
        <v>63</v>
      </c>
      <c r="AG56" t="s">
        <v>100</v>
      </c>
      <c r="AH56" t="s">
        <v>81</v>
      </c>
      <c r="AI56" t="s">
        <v>60</v>
      </c>
      <c r="AJ56" t="s">
        <v>60</v>
      </c>
      <c r="AL56">
        <v>457.27</v>
      </c>
      <c r="AM56">
        <v>572.16999999999996</v>
      </c>
      <c r="AN56">
        <v>414.55</v>
      </c>
      <c r="AO56">
        <v>0</v>
      </c>
      <c r="AP56">
        <v>986.72</v>
      </c>
      <c r="AQ56" t="s">
        <v>91</v>
      </c>
      <c r="AR56" t="s">
        <v>60</v>
      </c>
      <c r="AS56" t="s">
        <v>61</v>
      </c>
      <c r="AT56" t="s">
        <v>83</v>
      </c>
      <c r="AU56">
        <v>5</v>
      </c>
      <c r="AV56" t="s">
        <v>50</v>
      </c>
      <c r="AX56">
        <v>6138</v>
      </c>
    </row>
    <row r="57" spans="1:50" x14ac:dyDescent="0.3">
      <c r="A57">
        <v>1358</v>
      </c>
      <c r="B57" t="s">
        <v>266</v>
      </c>
      <c r="C57">
        <v>24</v>
      </c>
      <c r="D57" t="s">
        <v>49</v>
      </c>
      <c r="E57" t="s">
        <v>50</v>
      </c>
      <c r="F57" t="s">
        <v>267</v>
      </c>
      <c r="G57" t="s">
        <v>94</v>
      </c>
      <c r="H57" t="s">
        <v>86</v>
      </c>
      <c r="I57">
        <v>21.6</v>
      </c>
      <c r="J57">
        <v>1.48</v>
      </c>
      <c r="K57">
        <v>9.9</v>
      </c>
      <c r="L57">
        <v>132</v>
      </c>
      <c r="M57">
        <v>91</v>
      </c>
      <c r="N57">
        <v>160</v>
      </c>
      <c r="O57">
        <v>231</v>
      </c>
      <c r="P57">
        <v>264</v>
      </c>
      <c r="Q57">
        <v>109</v>
      </c>
      <c r="R57">
        <v>99</v>
      </c>
      <c r="S57">
        <v>36.5</v>
      </c>
      <c r="T57" s="1">
        <v>45530</v>
      </c>
      <c r="U57" t="s">
        <v>268</v>
      </c>
      <c r="V57" t="s">
        <v>131</v>
      </c>
      <c r="W57" t="s">
        <v>56</v>
      </c>
      <c r="X57" t="s">
        <v>57</v>
      </c>
      <c r="Y57">
        <v>27</v>
      </c>
      <c r="Z57" t="s">
        <v>78</v>
      </c>
      <c r="AA57" t="s">
        <v>59</v>
      </c>
      <c r="AB57" s="1">
        <v>45389</v>
      </c>
      <c r="AC57" t="s">
        <v>60</v>
      </c>
      <c r="AD57" t="s">
        <v>61</v>
      </c>
      <c r="AE57" t="s">
        <v>72</v>
      </c>
      <c r="AF57" t="s">
        <v>63</v>
      </c>
      <c r="AG57" t="s">
        <v>113</v>
      </c>
      <c r="AH57" t="s">
        <v>60</v>
      </c>
      <c r="AI57" t="s">
        <v>61</v>
      </c>
      <c r="AJ57" t="s">
        <v>60</v>
      </c>
      <c r="AL57">
        <v>1272.03</v>
      </c>
      <c r="AM57">
        <v>872.03</v>
      </c>
      <c r="AN57">
        <v>225.64</v>
      </c>
      <c r="AO57">
        <v>0</v>
      </c>
      <c r="AP57">
        <v>1097.67</v>
      </c>
      <c r="AQ57" t="s">
        <v>114</v>
      </c>
      <c r="AR57" t="s">
        <v>61</v>
      </c>
      <c r="AS57" t="s">
        <v>61</v>
      </c>
      <c r="AT57" t="s">
        <v>101</v>
      </c>
      <c r="AU57">
        <v>1</v>
      </c>
      <c r="AV57" t="s">
        <v>50</v>
      </c>
      <c r="AX57">
        <v>12012</v>
      </c>
    </row>
    <row r="58" spans="1:50" x14ac:dyDescent="0.3">
      <c r="A58">
        <v>1359</v>
      </c>
      <c r="B58" t="s">
        <v>269</v>
      </c>
      <c r="C58">
        <v>11</v>
      </c>
      <c r="D58" t="s">
        <v>103</v>
      </c>
      <c r="E58" t="s">
        <v>50</v>
      </c>
      <c r="F58" t="s">
        <v>270</v>
      </c>
      <c r="G58" t="s">
        <v>117</v>
      </c>
      <c r="H58" t="s">
        <v>117</v>
      </c>
      <c r="I58">
        <v>76.099999999999994</v>
      </c>
      <c r="J58">
        <v>1.05</v>
      </c>
      <c r="K58">
        <v>69</v>
      </c>
      <c r="L58">
        <v>110</v>
      </c>
      <c r="M58">
        <v>60</v>
      </c>
      <c r="N58">
        <v>109</v>
      </c>
      <c r="O58">
        <v>120</v>
      </c>
      <c r="P58">
        <v>390</v>
      </c>
      <c r="Q58">
        <v>95</v>
      </c>
      <c r="R58">
        <v>93</v>
      </c>
      <c r="S58">
        <v>39.200000000000003</v>
      </c>
      <c r="T58" s="1">
        <v>45332</v>
      </c>
      <c r="U58" t="s">
        <v>271</v>
      </c>
      <c r="V58" t="s">
        <v>272</v>
      </c>
      <c r="W58" t="s">
        <v>56</v>
      </c>
      <c r="X58" t="s">
        <v>57</v>
      </c>
      <c r="Y58">
        <v>24</v>
      </c>
      <c r="Z58" t="s">
        <v>58</v>
      </c>
      <c r="AA58" t="s">
        <v>112</v>
      </c>
      <c r="AB58" s="1">
        <v>45463</v>
      </c>
      <c r="AC58" t="s">
        <v>60</v>
      </c>
      <c r="AD58" t="s">
        <v>60</v>
      </c>
      <c r="AE58" t="s">
        <v>72</v>
      </c>
      <c r="AF58" t="s">
        <v>63</v>
      </c>
      <c r="AG58" t="s">
        <v>113</v>
      </c>
      <c r="AH58" t="s">
        <v>61</v>
      </c>
      <c r="AI58" t="s">
        <v>60</v>
      </c>
      <c r="AJ58" t="s">
        <v>61</v>
      </c>
      <c r="AL58">
        <v>1261.07</v>
      </c>
      <c r="AM58">
        <v>457.49</v>
      </c>
      <c r="AN58">
        <v>1170.1199999999999</v>
      </c>
      <c r="AO58">
        <v>0</v>
      </c>
      <c r="AP58">
        <v>1627.61</v>
      </c>
      <c r="AQ58" t="s">
        <v>65</v>
      </c>
      <c r="AR58" t="s">
        <v>60</v>
      </c>
      <c r="AS58" t="s">
        <v>61</v>
      </c>
      <c r="AT58" t="s">
        <v>83</v>
      </c>
      <c r="AU58">
        <v>1</v>
      </c>
      <c r="AV58" t="s">
        <v>50</v>
      </c>
      <c r="AX58">
        <v>6600</v>
      </c>
    </row>
    <row r="59" spans="1:50" x14ac:dyDescent="0.3">
      <c r="A59">
        <v>1360</v>
      </c>
      <c r="B59" t="s">
        <v>273</v>
      </c>
      <c r="C59">
        <v>69</v>
      </c>
      <c r="D59" t="s">
        <v>103</v>
      </c>
      <c r="E59" t="s">
        <v>50</v>
      </c>
      <c r="F59" t="s">
        <v>126</v>
      </c>
      <c r="G59" t="s">
        <v>94</v>
      </c>
      <c r="H59" t="s">
        <v>86</v>
      </c>
      <c r="I59">
        <v>41.2</v>
      </c>
      <c r="J59">
        <v>1.49</v>
      </c>
      <c r="K59">
        <v>18.600000000000001</v>
      </c>
      <c r="L59">
        <v>140</v>
      </c>
      <c r="M59">
        <v>77</v>
      </c>
      <c r="N59">
        <v>95</v>
      </c>
      <c r="O59">
        <v>243</v>
      </c>
      <c r="P59">
        <v>230</v>
      </c>
      <c r="Q59">
        <v>89</v>
      </c>
      <c r="R59">
        <v>92</v>
      </c>
      <c r="S59">
        <v>37.200000000000003</v>
      </c>
      <c r="T59" s="1">
        <v>45633</v>
      </c>
      <c r="U59" t="s">
        <v>274</v>
      </c>
      <c r="V59" t="s">
        <v>275</v>
      </c>
      <c r="W59" t="s">
        <v>56</v>
      </c>
      <c r="X59" t="s">
        <v>57</v>
      </c>
      <c r="Y59">
        <v>29</v>
      </c>
      <c r="Z59" t="s">
        <v>58</v>
      </c>
      <c r="AA59" t="s">
        <v>107</v>
      </c>
      <c r="AB59" s="1">
        <v>45596</v>
      </c>
      <c r="AC59" t="s">
        <v>61</v>
      </c>
      <c r="AD59" t="s">
        <v>60</v>
      </c>
      <c r="AE59" t="s">
        <v>72</v>
      </c>
      <c r="AF59" t="s">
        <v>63</v>
      </c>
      <c r="AG59" t="s">
        <v>80</v>
      </c>
      <c r="AH59" t="s">
        <v>60</v>
      </c>
      <c r="AI59" t="s">
        <v>61</v>
      </c>
      <c r="AJ59" t="s">
        <v>61</v>
      </c>
      <c r="AL59">
        <v>469.27</v>
      </c>
      <c r="AM59">
        <v>1704.1</v>
      </c>
      <c r="AN59">
        <v>715.23</v>
      </c>
      <c r="AO59">
        <v>0</v>
      </c>
      <c r="AP59">
        <v>2419.33</v>
      </c>
      <c r="AQ59" t="s">
        <v>114</v>
      </c>
      <c r="AR59" t="s">
        <v>60</v>
      </c>
      <c r="AS59" t="s">
        <v>60</v>
      </c>
      <c r="AT59" t="s">
        <v>101</v>
      </c>
      <c r="AU59">
        <v>2</v>
      </c>
      <c r="AV59" t="s">
        <v>50</v>
      </c>
      <c r="AX59">
        <v>10780</v>
      </c>
    </row>
    <row r="60" spans="1:50" x14ac:dyDescent="0.3">
      <c r="A60">
        <v>1361</v>
      </c>
      <c r="B60" t="s">
        <v>276</v>
      </c>
      <c r="C60">
        <v>12</v>
      </c>
      <c r="D60" t="s">
        <v>49</v>
      </c>
      <c r="E60" t="s">
        <v>50</v>
      </c>
      <c r="F60" t="s">
        <v>133</v>
      </c>
      <c r="G60" t="s">
        <v>75</v>
      </c>
      <c r="H60" t="s">
        <v>75</v>
      </c>
      <c r="I60">
        <v>60.8</v>
      </c>
      <c r="J60">
        <v>1.42</v>
      </c>
      <c r="K60">
        <v>30.2</v>
      </c>
      <c r="L60">
        <v>121</v>
      </c>
      <c r="M60">
        <v>75</v>
      </c>
      <c r="N60">
        <v>133</v>
      </c>
      <c r="O60">
        <v>211</v>
      </c>
      <c r="P60">
        <v>102</v>
      </c>
      <c r="Q60">
        <v>96</v>
      </c>
      <c r="R60">
        <v>93</v>
      </c>
      <c r="S60">
        <v>37.9</v>
      </c>
      <c r="T60" s="1">
        <v>45590</v>
      </c>
      <c r="U60" t="s">
        <v>202</v>
      </c>
      <c r="V60" t="s">
        <v>277</v>
      </c>
      <c r="W60" t="s">
        <v>56</v>
      </c>
      <c r="X60" t="s">
        <v>57</v>
      </c>
      <c r="Y60">
        <v>19</v>
      </c>
      <c r="Z60" t="s">
        <v>71</v>
      </c>
      <c r="AA60" t="s">
        <v>59</v>
      </c>
      <c r="AB60" s="1">
        <v>45455</v>
      </c>
      <c r="AC60" t="s">
        <v>61</v>
      </c>
      <c r="AD60" t="s">
        <v>60</v>
      </c>
      <c r="AE60" t="s">
        <v>72</v>
      </c>
      <c r="AF60" t="s">
        <v>63</v>
      </c>
      <c r="AG60" t="s">
        <v>64</v>
      </c>
      <c r="AH60" t="s">
        <v>60</v>
      </c>
      <c r="AI60" t="s">
        <v>60</v>
      </c>
      <c r="AJ60" t="s">
        <v>61</v>
      </c>
      <c r="AL60">
        <v>712.84</v>
      </c>
      <c r="AM60">
        <v>1570.4</v>
      </c>
      <c r="AN60">
        <v>595.54</v>
      </c>
      <c r="AO60">
        <v>0</v>
      </c>
      <c r="AP60">
        <v>2165.94</v>
      </c>
      <c r="AQ60" t="s">
        <v>65</v>
      </c>
      <c r="AR60" t="s">
        <v>61</v>
      </c>
      <c r="AS60" t="s">
        <v>60</v>
      </c>
      <c r="AT60" t="s">
        <v>101</v>
      </c>
      <c r="AU60">
        <v>2</v>
      </c>
      <c r="AV60" t="s">
        <v>50</v>
      </c>
      <c r="AX60">
        <v>9075</v>
      </c>
    </row>
    <row r="61" spans="1:50" x14ac:dyDescent="0.3">
      <c r="A61">
        <v>1362</v>
      </c>
      <c r="B61" t="s">
        <v>278</v>
      </c>
      <c r="C61">
        <v>3</v>
      </c>
      <c r="D61" t="s">
        <v>103</v>
      </c>
      <c r="E61" t="s">
        <v>50</v>
      </c>
      <c r="F61" t="s">
        <v>279</v>
      </c>
      <c r="G61" t="s">
        <v>75</v>
      </c>
      <c r="H61" t="s">
        <v>68</v>
      </c>
      <c r="I61">
        <v>24.5</v>
      </c>
      <c r="J61">
        <v>1.1299999999999999</v>
      </c>
      <c r="K61">
        <v>19.2</v>
      </c>
      <c r="L61">
        <v>102</v>
      </c>
      <c r="M61">
        <v>73</v>
      </c>
      <c r="N61">
        <v>123</v>
      </c>
      <c r="O61">
        <v>153</v>
      </c>
      <c r="P61">
        <v>344</v>
      </c>
      <c r="Q61">
        <v>108</v>
      </c>
      <c r="R61">
        <v>92</v>
      </c>
      <c r="S61">
        <v>38.299999999999997</v>
      </c>
      <c r="T61" s="1">
        <v>45381</v>
      </c>
      <c r="U61" t="s">
        <v>232</v>
      </c>
      <c r="V61" t="s">
        <v>189</v>
      </c>
      <c r="W61" t="s">
        <v>56</v>
      </c>
      <c r="X61" t="s">
        <v>57</v>
      </c>
      <c r="Y61">
        <v>20</v>
      </c>
      <c r="Z61" t="s">
        <v>78</v>
      </c>
      <c r="AA61" t="s">
        <v>59</v>
      </c>
      <c r="AB61" s="1">
        <v>45609</v>
      </c>
      <c r="AC61" t="s">
        <v>60</v>
      </c>
      <c r="AD61" t="s">
        <v>60</v>
      </c>
      <c r="AE61" t="s">
        <v>62</v>
      </c>
      <c r="AF61" t="s">
        <v>63</v>
      </c>
      <c r="AG61" t="s">
        <v>90</v>
      </c>
      <c r="AH61" t="s">
        <v>81</v>
      </c>
      <c r="AI61" t="s">
        <v>61</v>
      </c>
      <c r="AJ61" t="s">
        <v>61</v>
      </c>
      <c r="AL61">
        <v>764.86</v>
      </c>
      <c r="AM61">
        <v>906.17</v>
      </c>
      <c r="AN61">
        <v>463.3</v>
      </c>
      <c r="AO61">
        <v>0</v>
      </c>
      <c r="AP61">
        <v>1369.47</v>
      </c>
      <c r="AQ61" t="s">
        <v>65</v>
      </c>
      <c r="AR61" t="s">
        <v>60</v>
      </c>
      <c r="AS61" t="s">
        <v>60</v>
      </c>
      <c r="AT61" t="s">
        <v>83</v>
      </c>
      <c r="AU61">
        <v>2</v>
      </c>
      <c r="AV61" t="s">
        <v>50</v>
      </c>
      <c r="AX61">
        <v>7446</v>
      </c>
    </row>
    <row r="62" spans="1:50" x14ac:dyDescent="0.3">
      <c r="A62">
        <v>1363</v>
      </c>
      <c r="B62" t="s">
        <v>280</v>
      </c>
      <c r="C62">
        <v>72</v>
      </c>
      <c r="D62" t="s">
        <v>49</v>
      </c>
      <c r="E62" t="s">
        <v>50</v>
      </c>
      <c r="F62" t="s">
        <v>281</v>
      </c>
      <c r="G62" t="s">
        <v>53</v>
      </c>
      <c r="H62" t="s">
        <v>68</v>
      </c>
      <c r="I62">
        <v>100.4</v>
      </c>
      <c r="J62">
        <v>1.18</v>
      </c>
      <c r="K62">
        <v>72.099999999999994</v>
      </c>
      <c r="L62">
        <v>121</v>
      </c>
      <c r="M62">
        <v>73</v>
      </c>
      <c r="N62">
        <v>106</v>
      </c>
      <c r="O62">
        <v>252</v>
      </c>
      <c r="P62">
        <v>298</v>
      </c>
      <c r="Q62">
        <v>102</v>
      </c>
      <c r="R62">
        <v>92</v>
      </c>
      <c r="S62">
        <v>38.1</v>
      </c>
      <c r="T62" s="1">
        <v>45356</v>
      </c>
      <c r="U62" t="s">
        <v>282</v>
      </c>
      <c r="V62" t="s">
        <v>283</v>
      </c>
      <c r="W62" t="s">
        <v>56</v>
      </c>
      <c r="X62" t="s">
        <v>57</v>
      </c>
      <c r="Y62">
        <v>15</v>
      </c>
      <c r="Z62" t="s">
        <v>78</v>
      </c>
      <c r="AA62" t="s">
        <v>112</v>
      </c>
      <c r="AB62" s="1">
        <v>45689</v>
      </c>
      <c r="AC62" t="s">
        <v>60</v>
      </c>
      <c r="AD62" t="s">
        <v>60</v>
      </c>
      <c r="AE62" t="s">
        <v>72</v>
      </c>
      <c r="AF62" t="s">
        <v>63</v>
      </c>
      <c r="AG62" t="s">
        <v>90</v>
      </c>
      <c r="AH62" t="s">
        <v>61</v>
      </c>
      <c r="AI62" t="s">
        <v>61</v>
      </c>
      <c r="AJ62" t="s">
        <v>60</v>
      </c>
      <c r="AL62">
        <v>638.89</v>
      </c>
      <c r="AM62">
        <v>1791.05</v>
      </c>
      <c r="AN62">
        <v>1343.41</v>
      </c>
      <c r="AO62">
        <v>0</v>
      </c>
      <c r="AP62">
        <v>3134.46</v>
      </c>
      <c r="AQ62" t="s">
        <v>82</v>
      </c>
      <c r="AR62" t="s">
        <v>61</v>
      </c>
      <c r="AS62" t="s">
        <v>60</v>
      </c>
      <c r="AT62" t="s">
        <v>101</v>
      </c>
      <c r="AU62">
        <v>2</v>
      </c>
      <c r="AV62" t="s">
        <v>50</v>
      </c>
      <c r="AX62">
        <v>8833</v>
      </c>
    </row>
    <row r="63" spans="1:50" x14ac:dyDescent="0.3">
      <c r="A63">
        <v>1364</v>
      </c>
      <c r="B63" t="s">
        <v>284</v>
      </c>
      <c r="C63">
        <v>22</v>
      </c>
      <c r="D63" t="s">
        <v>49</v>
      </c>
      <c r="E63" t="s">
        <v>50</v>
      </c>
      <c r="F63" t="s">
        <v>51</v>
      </c>
      <c r="G63" t="s">
        <v>75</v>
      </c>
      <c r="H63" t="s">
        <v>86</v>
      </c>
      <c r="I63">
        <v>62.3</v>
      </c>
      <c r="J63">
        <v>1.68</v>
      </c>
      <c r="K63">
        <v>22.1</v>
      </c>
      <c r="L63">
        <v>113</v>
      </c>
      <c r="M63">
        <v>66</v>
      </c>
      <c r="N63">
        <v>123</v>
      </c>
      <c r="O63">
        <v>166</v>
      </c>
      <c r="P63">
        <v>171</v>
      </c>
      <c r="Q63">
        <v>110</v>
      </c>
      <c r="R63">
        <v>92</v>
      </c>
      <c r="S63">
        <v>39</v>
      </c>
      <c r="T63" s="1">
        <v>45559</v>
      </c>
      <c r="U63" t="s">
        <v>160</v>
      </c>
      <c r="V63" t="s">
        <v>285</v>
      </c>
      <c r="W63" t="s">
        <v>56</v>
      </c>
      <c r="X63" t="s">
        <v>57</v>
      </c>
      <c r="Y63">
        <v>26</v>
      </c>
      <c r="Z63" t="s">
        <v>78</v>
      </c>
      <c r="AA63" t="s">
        <v>107</v>
      </c>
      <c r="AB63" s="1">
        <v>45694</v>
      </c>
      <c r="AC63" t="s">
        <v>60</v>
      </c>
      <c r="AD63" t="s">
        <v>61</v>
      </c>
      <c r="AE63" t="s">
        <v>79</v>
      </c>
      <c r="AF63" t="s">
        <v>63</v>
      </c>
      <c r="AG63" t="s">
        <v>100</v>
      </c>
      <c r="AH63" t="s">
        <v>81</v>
      </c>
      <c r="AI63" t="s">
        <v>61</v>
      </c>
      <c r="AJ63" t="s">
        <v>61</v>
      </c>
      <c r="AL63">
        <v>927.74</v>
      </c>
      <c r="AM63">
        <v>1454.68</v>
      </c>
      <c r="AN63">
        <v>2892.45</v>
      </c>
      <c r="AO63">
        <v>0</v>
      </c>
      <c r="AP63">
        <v>4347.13</v>
      </c>
      <c r="AQ63" t="s">
        <v>114</v>
      </c>
      <c r="AR63" t="s">
        <v>60</v>
      </c>
      <c r="AS63" t="s">
        <v>61</v>
      </c>
      <c r="AT63" t="s">
        <v>101</v>
      </c>
      <c r="AU63">
        <v>3</v>
      </c>
      <c r="AV63" t="s">
        <v>50</v>
      </c>
      <c r="AX63">
        <v>7458</v>
      </c>
    </row>
    <row r="64" spans="1:50" x14ac:dyDescent="0.3">
      <c r="A64">
        <v>1365</v>
      </c>
      <c r="B64" t="s">
        <v>286</v>
      </c>
      <c r="C64">
        <v>37</v>
      </c>
      <c r="D64" t="s">
        <v>49</v>
      </c>
      <c r="E64" t="s">
        <v>50</v>
      </c>
      <c r="F64" t="s">
        <v>287</v>
      </c>
      <c r="G64" t="s">
        <v>87</v>
      </c>
      <c r="H64" t="s">
        <v>86</v>
      </c>
      <c r="I64">
        <v>113.2</v>
      </c>
      <c r="J64">
        <v>1.76</v>
      </c>
      <c r="K64">
        <v>36.5</v>
      </c>
      <c r="L64">
        <v>119</v>
      </c>
      <c r="M64">
        <v>95</v>
      </c>
      <c r="N64">
        <v>87</v>
      </c>
      <c r="O64">
        <v>280</v>
      </c>
      <c r="P64">
        <v>115</v>
      </c>
      <c r="Q64">
        <v>87</v>
      </c>
      <c r="R64">
        <v>98</v>
      </c>
      <c r="S64">
        <v>37.9</v>
      </c>
      <c r="T64" s="1">
        <v>45390</v>
      </c>
      <c r="U64" t="s">
        <v>122</v>
      </c>
      <c r="V64" t="s">
        <v>206</v>
      </c>
      <c r="W64" t="s">
        <v>56</v>
      </c>
      <c r="X64" t="s">
        <v>57</v>
      </c>
      <c r="Y64">
        <v>24</v>
      </c>
      <c r="Z64" t="s">
        <v>58</v>
      </c>
      <c r="AA64" t="s">
        <v>59</v>
      </c>
      <c r="AB64" s="1">
        <v>45527</v>
      </c>
      <c r="AC64" t="s">
        <v>61</v>
      </c>
      <c r="AD64" t="s">
        <v>61</v>
      </c>
      <c r="AE64" t="s">
        <v>79</v>
      </c>
      <c r="AF64" t="s">
        <v>63</v>
      </c>
      <c r="AG64" t="s">
        <v>90</v>
      </c>
      <c r="AH64" t="s">
        <v>60</v>
      </c>
      <c r="AI64" t="s">
        <v>60</v>
      </c>
      <c r="AJ64" t="s">
        <v>61</v>
      </c>
      <c r="AL64">
        <v>724.63</v>
      </c>
      <c r="AM64">
        <v>1395.1</v>
      </c>
      <c r="AN64">
        <v>551.20000000000005</v>
      </c>
      <c r="AO64">
        <v>0</v>
      </c>
      <c r="AP64">
        <v>1946.3</v>
      </c>
      <c r="AQ64" t="s">
        <v>114</v>
      </c>
      <c r="AR64" t="s">
        <v>61</v>
      </c>
      <c r="AS64" t="s">
        <v>60</v>
      </c>
      <c r="AT64" t="s">
        <v>58</v>
      </c>
      <c r="AU64">
        <v>3</v>
      </c>
      <c r="AV64" t="s">
        <v>50</v>
      </c>
      <c r="AX64">
        <v>11305</v>
      </c>
    </row>
    <row r="65" spans="1:50" x14ac:dyDescent="0.3">
      <c r="A65">
        <v>1366</v>
      </c>
      <c r="B65" t="s">
        <v>288</v>
      </c>
      <c r="C65">
        <v>78</v>
      </c>
      <c r="D65" t="s">
        <v>49</v>
      </c>
      <c r="E65" t="s">
        <v>50</v>
      </c>
      <c r="F65" t="s">
        <v>175</v>
      </c>
      <c r="G65" t="s">
        <v>75</v>
      </c>
      <c r="H65" t="s">
        <v>52</v>
      </c>
      <c r="I65">
        <v>45.7</v>
      </c>
      <c r="J65">
        <v>1.34</v>
      </c>
      <c r="K65">
        <v>25.5</v>
      </c>
      <c r="L65">
        <v>149</v>
      </c>
      <c r="M65">
        <v>100</v>
      </c>
      <c r="N65">
        <v>148</v>
      </c>
      <c r="O65">
        <v>215</v>
      </c>
      <c r="P65">
        <v>326</v>
      </c>
      <c r="Q65">
        <v>86</v>
      </c>
      <c r="R65">
        <v>96</v>
      </c>
      <c r="S65">
        <v>38.9</v>
      </c>
      <c r="T65" s="1">
        <v>45424</v>
      </c>
      <c r="U65" t="s">
        <v>289</v>
      </c>
      <c r="V65" t="s">
        <v>143</v>
      </c>
      <c r="W65" t="s">
        <v>56</v>
      </c>
      <c r="X65" t="s">
        <v>57</v>
      </c>
      <c r="Y65">
        <v>15</v>
      </c>
      <c r="Z65" t="s">
        <v>78</v>
      </c>
      <c r="AA65" t="s">
        <v>107</v>
      </c>
      <c r="AB65" s="1">
        <v>45359</v>
      </c>
      <c r="AC65" t="s">
        <v>60</v>
      </c>
      <c r="AD65" t="s">
        <v>60</v>
      </c>
      <c r="AE65" t="s">
        <v>62</v>
      </c>
      <c r="AF65" t="s">
        <v>63</v>
      </c>
      <c r="AG65" t="s">
        <v>80</v>
      </c>
      <c r="AH65" t="s">
        <v>81</v>
      </c>
      <c r="AI65" t="s">
        <v>61</v>
      </c>
      <c r="AJ65" t="s">
        <v>60</v>
      </c>
      <c r="AL65">
        <v>1316.43</v>
      </c>
      <c r="AM65">
        <v>1006.47</v>
      </c>
      <c r="AN65">
        <v>1519.13</v>
      </c>
      <c r="AO65">
        <v>0</v>
      </c>
      <c r="AP65">
        <v>2525.6</v>
      </c>
      <c r="AQ65" t="s">
        <v>65</v>
      </c>
      <c r="AR65" t="s">
        <v>60</v>
      </c>
      <c r="AS65" t="s">
        <v>60</v>
      </c>
      <c r="AT65" t="s">
        <v>58</v>
      </c>
      <c r="AU65">
        <v>3</v>
      </c>
      <c r="AV65" t="s">
        <v>50</v>
      </c>
      <c r="AX65">
        <v>14900</v>
      </c>
    </row>
    <row r="66" spans="1:50" x14ac:dyDescent="0.3">
      <c r="A66">
        <v>1367</v>
      </c>
      <c r="B66" t="s">
        <v>290</v>
      </c>
      <c r="C66">
        <v>19</v>
      </c>
      <c r="D66" t="s">
        <v>49</v>
      </c>
      <c r="E66" t="s">
        <v>50</v>
      </c>
      <c r="F66" t="s">
        <v>291</v>
      </c>
      <c r="G66" t="s">
        <v>117</v>
      </c>
      <c r="H66" t="s">
        <v>117</v>
      </c>
      <c r="I66">
        <v>44</v>
      </c>
      <c r="J66">
        <v>1.39</v>
      </c>
      <c r="K66">
        <v>22.8</v>
      </c>
      <c r="L66">
        <v>138</v>
      </c>
      <c r="M66">
        <v>64</v>
      </c>
      <c r="N66">
        <v>157</v>
      </c>
      <c r="O66">
        <v>250</v>
      </c>
      <c r="P66">
        <v>382</v>
      </c>
      <c r="Q66">
        <v>84</v>
      </c>
      <c r="R66">
        <v>99</v>
      </c>
      <c r="S66">
        <v>36</v>
      </c>
      <c r="T66" s="1">
        <v>45449</v>
      </c>
      <c r="U66" t="s">
        <v>292</v>
      </c>
      <c r="V66" t="s">
        <v>253</v>
      </c>
      <c r="W66" t="s">
        <v>56</v>
      </c>
      <c r="X66" t="s">
        <v>57</v>
      </c>
      <c r="Y66">
        <v>18</v>
      </c>
      <c r="Z66" t="s">
        <v>78</v>
      </c>
      <c r="AA66" t="s">
        <v>112</v>
      </c>
      <c r="AB66" s="1">
        <v>45498</v>
      </c>
      <c r="AC66" t="s">
        <v>60</v>
      </c>
      <c r="AD66" t="s">
        <v>60</v>
      </c>
      <c r="AE66" t="s">
        <v>72</v>
      </c>
      <c r="AF66" t="s">
        <v>63</v>
      </c>
      <c r="AG66" t="s">
        <v>90</v>
      </c>
      <c r="AH66" t="s">
        <v>60</v>
      </c>
      <c r="AI66" t="s">
        <v>60</v>
      </c>
      <c r="AJ66" t="s">
        <v>60</v>
      </c>
      <c r="AL66">
        <v>673.72</v>
      </c>
      <c r="AM66">
        <v>1101.05</v>
      </c>
      <c r="AN66">
        <v>2773.97</v>
      </c>
      <c r="AO66">
        <v>0</v>
      </c>
      <c r="AP66">
        <v>3875.02</v>
      </c>
      <c r="AQ66" t="s">
        <v>114</v>
      </c>
      <c r="AR66" t="s">
        <v>60</v>
      </c>
      <c r="AS66" t="s">
        <v>60</v>
      </c>
      <c r="AT66" t="s">
        <v>101</v>
      </c>
      <c r="AU66">
        <v>1</v>
      </c>
      <c r="AV66" t="s">
        <v>50</v>
      </c>
      <c r="AX66">
        <v>8832</v>
      </c>
    </row>
    <row r="67" spans="1:50" x14ac:dyDescent="0.3">
      <c r="A67">
        <v>1368</v>
      </c>
      <c r="B67" t="s">
        <v>293</v>
      </c>
      <c r="C67">
        <v>72</v>
      </c>
      <c r="D67" t="s">
        <v>49</v>
      </c>
      <c r="E67" t="s">
        <v>50</v>
      </c>
      <c r="F67" t="s">
        <v>239</v>
      </c>
      <c r="G67" t="s">
        <v>94</v>
      </c>
      <c r="H67" t="s">
        <v>68</v>
      </c>
      <c r="I67">
        <v>17.3</v>
      </c>
      <c r="J67">
        <v>1.83</v>
      </c>
      <c r="K67">
        <v>5.2</v>
      </c>
      <c r="L67">
        <v>153</v>
      </c>
      <c r="M67">
        <v>95</v>
      </c>
      <c r="N67">
        <v>87</v>
      </c>
      <c r="O67">
        <v>272</v>
      </c>
      <c r="P67">
        <v>315</v>
      </c>
      <c r="Q67">
        <v>94</v>
      </c>
      <c r="R67">
        <v>92</v>
      </c>
      <c r="S67">
        <v>36.6</v>
      </c>
      <c r="T67" s="1">
        <v>45630</v>
      </c>
      <c r="U67" t="s">
        <v>191</v>
      </c>
      <c r="V67" t="s">
        <v>111</v>
      </c>
      <c r="W67" t="s">
        <v>56</v>
      </c>
      <c r="X67" t="s">
        <v>57</v>
      </c>
      <c r="Y67">
        <v>24</v>
      </c>
      <c r="Z67" t="s">
        <v>71</v>
      </c>
      <c r="AA67" t="s">
        <v>107</v>
      </c>
      <c r="AB67" s="1">
        <v>45420</v>
      </c>
      <c r="AC67" t="s">
        <v>61</v>
      </c>
      <c r="AD67" t="s">
        <v>61</v>
      </c>
      <c r="AE67" t="s">
        <v>62</v>
      </c>
      <c r="AF67" t="s">
        <v>63</v>
      </c>
      <c r="AG67" t="s">
        <v>90</v>
      </c>
      <c r="AH67" t="s">
        <v>60</v>
      </c>
      <c r="AI67" t="s">
        <v>60</v>
      </c>
      <c r="AJ67" t="s">
        <v>61</v>
      </c>
      <c r="AL67">
        <v>924.4</v>
      </c>
      <c r="AM67">
        <v>1975.45</v>
      </c>
      <c r="AN67">
        <v>149.9</v>
      </c>
      <c r="AO67">
        <v>0</v>
      </c>
      <c r="AP67">
        <v>2125.35</v>
      </c>
      <c r="AQ67" t="s">
        <v>91</v>
      </c>
      <c r="AR67" t="s">
        <v>61</v>
      </c>
      <c r="AS67" t="s">
        <v>60</v>
      </c>
      <c r="AT67" t="s">
        <v>58</v>
      </c>
      <c r="AU67">
        <v>2</v>
      </c>
      <c r="AV67" t="s">
        <v>50</v>
      </c>
      <c r="AX67">
        <v>14535</v>
      </c>
    </row>
    <row r="68" spans="1:50" x14ac:dyDescent="0.3">
      <c r="A68">
        <v>1369</v>
      </c>
      <c r="B68" t="s">
        <v>294</v>
      </c>
      <c r="C68">
        <v>39</v>
      </c>
      <c r="D68" t="s">
        <v>103</v>
      </c>
      <c r="E68" t="s">
        <v>50</v>
      </c>
      <c r="F68" t="s">
        <v>295</v>
      </c>
      <c r="G68" t="s">
        <v>117</v>
      </c>
      <c r="H68" t="s">
        <v>94</v>
      </c>
      <c r="I68">
        <v>48.5</v>
      </c>
      <c r="J68">
        <v>1.79</v>
      </c>
      <c r="K68">
        <v>15.1</v>
      </c>
      <c r="L68">
        <v>107</v>
      </c>
      <c r="M68">
        <v>67</v>
      </c>
      <c r="N68">
        <v>181</v>
      </c>
      <c r="O68">
        <v>155</v>
      </c>
      <c r="P68">
        <v>316</v>
      </c>
      <c r="Q68">
        <v>98</v>
      </c>
      <c r="R68">
        <v>99</v>
      </c>
      <c r="S68">
        <v>37.1</v>
      </c>
      <c r="T68" s="1">
        <v>45317</v>
      </c>
      <c r="U68" t="s">
        <v>236</v>
      </c>
      <c r="V68" t="s">
        <v>248</v>
      </c>
      <c r="W68" t="s">
        <v>56</v>
      </c>
      <c r="X68" t="s">
        <v>57</v>
      </c>
      <c r="Y68">
        <v>12</v>
      </c>
      <c r="Z68" t="s">
        <v>58</v>
      </c>
      <c r="AA68" t="s">
        <v>59</v>
      </c>
      <c r="AB68" s="1">
        <v>45381</v>
      </c>
      <c r="AC68" t="s">
        <v>61</v>
      </c>
      <c r="AD68" t="s">
        <v>61</v>
      </c>
      <c r="AE68" t="s">
        <v>79</v>
      </c>
      <c r="AF68" t="s">
        <v>63</v>
      </c>
      <c r="AG68" t="s">
        <v>100</v>
      </c>
      <c r="AH68" t="s">
        <v>81</v>
      </c>
      <c r="AI68" t="s">
        <v>61</v>
      </c>
      <c r="AJ68" t="s">
        <v>61</v>
      </c>
      <c r="AL68">
        <v>878.62</v>
      </c>
      <c r="AM68">
        <v>1234.69</v>
      </c>
      <c r="AN68">
        <v>610.14</v>
      </c>
      <c r="AO68">
        <v>0</v>
      </c>
      <c r="AP68">
        <v>1844.83</v>
      </c>
      <c r="AQ68" t="s">
        <v>65</v>
      </c>
      <c r="AR68" t="s">
        <v>61</v>
      </c>
      <c r="AS68" t="s">
        <v>60</v>
      </c>
      <c r="AT68" t="s">
        <v>58</v>
      </c>
      <c r="AU68">
        <v>2</v>
      </c>
      <c r="AV68" t="s">
        <v>50</v>
      </c>
      <c r="AX68">
        <v>7169</v>
      </c>
    </row>
    <row r="69" spans="1:50" x14ac:dyDescent="0.3">
      <c r="A69">
        <v>1370</v>
      </c>
      <c r="B69" t="s">
        <v>296</v>
      </c>
      <c r="C69">
        <v>77</v>
      </c>
      <c r="D69" t="s">
        <v>49</v>
      </c>
      <c r="E69" t="s">
        <v>50</v>
      </c>
      <c r="F69" t="s">
        <v>187</v>
      </c>
      <c r="G69" t="s">
        <v>53</v>
      </c>
      <c r="H69" t="s">
        <v>94</v>
      </c>
      <c r="I69">
        <v>62.2</v>
      </c>
      <c r="J69">
        <v>1.39</v>
      </c>
      <c r="K69">
        <v>32.200000000000003</v>
      </c>
      <c r="L69">
        <v>96</v>
      </c>
      <c r="M69">
        <v>86</v>
      </c>
      <c r="N69">
        <v>125</v>
      </c>
      <c r="O69">
        <v>266</v>
      </c>
      <c r="P69">
        <v>323</v>
      </c>
      <c r="Q69">
        <v>110</v>
      </c>
      <c r="R69">
        <v>98</v>
      </c>
      <c r="S69">
        <v>38.200000000000003</v>
      </c>
      <c r="T69" s="1">
        <v>45543</v>
      </c>
      <c r="U69" t="s">
        <v>297</v>
      </c>
      <c r="V69" t="s">
        <v>298</v>
      </c>
      <c r="W69" t="s">
        <v>56</v>
      </c>
      <c r="X69" t="s">
        <v>57</v>
      </c>
      <c r="Y69">
        <v>29</v>
      </c>
      <c r="Z69" t="s">
        <v>58</v>
      </c>
      <c r="AA69" t="s">
        <v>107</v>
      </c>
      <c r="AB69" s="1">
        <v>45516</v>
      </c>
      <c r="AC69" t="s">
        <v>61</v>
      </c>
      <c r="AD69" t="s">
        <v>60</v>
      </c>
      <c r="AE69" t="s">
        <v>62</v>
      </c>
      <c r="AF69" t="s">
        <v>63</v>
      </c>
      <c r="AG69" t="s">
        <v>100</v>
      </c>
      <c r="AH69" t="s">
        <v>61</v>
      </c>
      <c r="AI69" t="s">
        <v>60</v>
      </c>
      <c r="AJ69" t="s">
        <v>60</v>
      </c>
      <c r="AL69">
        <v>1336.81</v>
      </c>
      <c r="AM69">
        <v>223.34</v>
      </c>
      <c r="AN69">
        <v>2691.04</v>
      </c>
      <c r="AO69">
        <v>0</v>
      </c>
      <c r="AP69">
        <v>2914.38</v>
      </c>
      <c r="AQ69" t="s">
        <v>65</v>
      </c>
      <c r="AR69" t="s">
        <v>61</v>
      </c>
      <c r="AS69" t="s">
        <v>60</v>
      </c>
      <c r="AT69" t="s">
        <v>101</v>
      </c>
      <c r="AU69">
        <v>4</v>
      </c>
      <c r="AV69" t="s">
        <v>50</v>
      </c>
      <c r="AX69">
        <v>8256</v>
      </c>
    </row>
    <row r="70" spans="1:50" x14ac:dyDescent="0.3">
      <c r="A70">
        <v>1371</v>
      </c>
      <c r="B70" t="s">
        <v>299</v>
      </c>
      <c r="C70">
        <v>55</v>
      </c>
      <c r="D70" t="s">
        <v>103</v>
      </c>
      <c r="E70" t="s">
        <v>50</v>
      </c>
      <c r="F70" t="s">
        <v>220</v>
      </c>
      <c r="G70" t="s">
        <v>117</v>
      </c>
      <c r="H70" t="s">
        <v>75</v>
      </c>
      <c r="I70">
        <v>48.3</v>
      </c>
      <c r="J70">
        <v>1.18</v>
      </c>
      <c r="K70">
        <v>34.700000000000003</v>
      </c>
      <c r="L70">
        <v>128</v>
      </c>
      <c r="M70">
        <v>84</v>
      </c>
      <c r="N70">
        <v>234</v>
      </c>
      <c r="O70">
        <v>281</v>
      </c>
      <c r="P70">
        <v>209</v>
      </c>
      <c r="Q70">
        <v>90</v>
      </c>
      <c r="R70">
        <v>94</v>
      </c>
      <c r="S70">
        <v>39.4</v>
      </c>
      <c r="T70" s="1">
        <v>45590</v>
      </c>
      <c r="U70" t="s">
        <v>300</v>
      </c>
      <c r="V70" t="s">
        <v>277</v>
      </c>
      <c r="W70" t="s">
        <v>56</v>
      </c>
      <c r="X70" t="s">
        <v>57</v>
      </c>
      <c r="Y70">
        <v>15</v>
      </c>
      <c r="Z70" t="s">
        <v>71</v>
      </c>
      <c r="AA70" t="s">
        <v>59</v>
      </c>
      <c r="AB70" s="1">
        <v>45551</v>
      </c>
      <c r="AC70" t="s">
        <v>60</v>
      </c>
      <c r="AD70" t="s">
        <v>61</v>
      </c>
      <c r="AE70" t="s">
        <v>79</v>
      </c>
      <c r="AF70" t="s">
        <v>63</v>
      </c>
      <c r="AG70" t="s">
        <v>113</v>
      </c>
      <c r="AH70" t="s">
        <v>60</v>
      </c>
      <c r="AI70" t="s">
        <v>61</v>
      </c>
      <c r="AJ70" t="s">
        <v>60</v>
      </c>
      <c r="AL70">
        <v>462.85</v>
      </c>
      <c r="AM70">
        <v>390.19</v>
      </c>
      <c r="AN70">
        <v>2459.2600000000002</v>
      </c>
      <c r="AO70">
        <v>0</v>
      </c>
      <c r="AP70">
        <v>2849.45</v>
      </c>
      <c r="AQ70" t="s">
        <v>82</v>
      </c>
      <c r="AR70" t="s">
        <v>61</v>
      </c>
      <c r="AS70" t="s">
        <v>61</v>
      </c>
      <c r="AT70" t="s">
        <v>101</v>
      </c>
      <c r="AU70">
        <v>1</v>
      </c>
      <c r="AV70" t="s">
        <v>50</v>
      </c>
      <c r="AX70">
        <v>10752</v>
      </c>
    </row>
    <row r="71" spans="1:50" x14ac:dyDescent="0.3">
      <c r="A71">
        <v>1372</v>
      </c>
      <c r="B71" t="s">
        <v>301</v>
      </c>
      <c r="C71">
        <v>44</v>
      </c>
      <c r="D71" t="s">
        <v>103</v>
      </c>
      <c r="E71" t="s">
        <v>50</v>
      </c>
      <c r="F71" t="s">
        <v>302</v>
      </c>
      <c r="G71" t="s">
        <v>68</v>
      </c>
      <c r="H71" t="s">
        <v>86</v>
      </c>
      <c r="I71">
        <v>37.4</v>
      </c>
      <c r="J71">
        <v>1.4</v>
      </c>
      <c r="K71">
        <v>19.100000000000001</v>
      </c>
      <c r="L71">
        <v>123</v>
      </c>
      <c r="M71">
        <v>70</v>
      </c>
      <c r="N71">
        <v>160</v>
      </c>
      <c r="O71">
        <v>138</v>
      </c>
      <c r="P71">
        <v>370</v>
      </c>
      <c r="Q71">
        <v>77</v>
      </c>
      <c r="R71">
        <v>98</v>
      </c>
      <c r="S71">
        <v>37.9</v>
      </c>
      <c r="T71" s="1">
        <v>45575</v>
      </c>
      <c r="U71" t="s">
        <v>252</v>
      </c>
      <c r="V71" t="s">
        <v>99</v>
      </c>
      <c r="W71" t="s">
        <v>56</v>
      </c>
      <c r="X71" t="s">
        <v>57</v>
      </c>
      <c r="Y71">
        <v>29</v>
      </c>
      <c r="Z71" t="s">
        <v>78</v>
      </c>
      <c r="AA71" t="s">
        <v>59</v>
      </c>
      <c r="AB71" s="1">
        <v>45697</v>
      </c>
      <c r="AC71" t="s">
        <v>60</v>
      </c>
      <c r="AD71" t="s">
        <v>61</v>
      </c>
      <c r="AE71" t="s">
        <v>62</v>
      </c>
      <c r="AF71" t="s">
        <v>63</v>
      </c>
      <c r="AG71" t="s">
        <v>64</v>
      </c>
      <c r="AH71" t="s">
        <v>60</v>
      </c>
      <c r="AI71" t="s">
        <v>61</v>
      </c>
      <c r="AJ71" t="s">
        <v>60</v>
      </c>
      <c r="AL71">
        <v>1286.45</v>
      </c>
      <c r="AM71">
        <v>345.52</v>
      </c>
      <c r="AN71">
        <v>2907.9</v>
      </c>
      <c r="AO71">
        <v>0</v>
      </c>
      <c r="AP71">
        <v>3253.42</v>
      </c>
      <c r="AQ71" t="s">
        <v>65</v>
      </c>
      <c r="AR71" t="s">
        <v>61</v>
      </c>
      <c r="AS71" t="s">
        <v>60</v>
      </c>
      <c r="AT71" t="s">
        <v>58</v>
      </c>
      <c r="AU71">
        <v>4</v>
      </c>
      <c r="AV71" t="s">
        <v>50</v>
      </c>
      <c r="AX71">
        <v>8610</v>
      </c>
    </row>
    <row r="72" spans="1:50" x14ac:dyDescent="0.3">
      <c r="A72">
        <v>1373</v>
      </c>
      <c r="B72" t="s">
        <v>303</v>
      </c>
      <c r="C72">
        <v>73</v>
      </c>
      <c r="D72" t="s">
        <v>49</v>
      </c>
      <c r="E72" t="s">
        <v>50</v>
      </c>
      <c r="F72" t="s">
        <v>287</v>
      </c>
      <c r="G72" t="s">
        <v>68</v>
      </c>
      <c r="H72" t="s">
        <v>52</v>
      </c>
      <c r="I72">
        <v>81.900000000000006</v>
      </c>
      <c r="J72">
        <v>1.85</v>
      </c>
      <c r="K72">
        <v>23.9</v>
      </c>
      <c r="L72">
        <v>122</v>
      </c>
      <c r="M72">
        <v>60</v>
      </c>
      <c r="N72">
        <v>77</v>
      </c>
      <c r="O72">
        <v>272</v>
      </c>
      <c r="P72">
        <v>87</v>
      </c>
      <c r="Q72">
        <v>104</v>
      </c>
      <c r="R72">
        <v>95</v>
      </c>
      <c r="S72">
        <v>38.799999999999997</v>
      </c>
      <c r="T72" s="1">
        <v>45302</v>
      </c>
      <c r="U72" t="s">
        <v>304</v>
      </c>
      <c r="V72" t="s">
        <v>305</v>
      </c>
      <c r="W72" t="s">
        <v>56</v>
      </c>
      <c r="X72" t="s">
        <v>57</v>
      </c>
      <c r="Y72">
        <v>27</v>
      </c>
      <c r="Z72" t="s">
        <v>58</v>
      </c>
      <c r="AA72" t="s">
        <v>107</v>
      </c>
      <c r="AB72" s="1">
        <v>45356</v>
      </c>
      <c r="AC72" t="s">
        <v>60</v>
      </c>
      <c r="AD72" t="s">
        <v>61</v>
      </c>
      <c r="AE72" t="s">
        <v>62</v>
      </c>
      <c r="AF72" t="s">
        <v>63</v>
      </c>
      <c r="AG72" t="s">
        <v>90</v>
      </c>
      <c r="AH72" t="s">
        <v>60</v>
      </c>
      <c r="AI72" t="s">
        <v>60</v>
      </c>
      <c r="AJ72" t="s">
        <v>61</v>
      </c>
      <c r="AL72">
        <v>899.67</v>
      </c>
      <c r="AM72">
        <v>800.63</v>
      </c>
      <c r="AN72">
        <v>135.63999999999999</v>
      </c>
      <c r="AO72">
        <v>0</v>
      </c>
      <c r="AP72">
        <v>936.27</v>
      </c>
      <c r="AQ72" t="s">
        <v>82</v>
      </c>
      <c r="AR72" t="s">
        <v>60</v>
      </c>
      <c r="AS72" t="s">
        <v>61</v>
      </c>
      <c r="AT72" t="s">
        <v>101</v>
      </c>
      <c r="AU72">
        <v>5</v>
      </c>
      <c r="AV72" t="s">
        <v>50</v>
      </c>
      <c r="AX72">
        <v>7320</v>
      </c>
    </row>
    <row r="73" spans="1:50" x14ac:dyDescent="0.3">
      <c r="A73">
        <v>1374</v>
      </c>
      <c r="B73" t="s">
        <v>306</v>
      </c>
      <c r="C73">
        <v>79</v>
      </c>
      <c r="D73" t="s">
        <v>103</v>
      </c>
      <c r="E73" t="s">
        <v>50</v>
      </c>
      <c r="F73" t="s">
        <v>67</v>
      </c>
      <c r="G73" t="s">
        <v>68</v>
      </c>
      <c r="H73" t="s">
        <v>86</v>
      </c>
      <c r="I73">
        <v>33.4</v>
      </c>
      <c r="J73">
        <v>1.61</v>
      </c>
      <c r="K73">
        <v>12.9</v>
      </c>
      <c r="L73">
        <v>95</v>
      </c>
      <c r="M73">
        <v>84</v>
      </c>
      <c r="N73">
        <v>148</v>
      </c>
      <c r="O73">
        <v>184</v>
      </c>
      <c r="P73">
        <v>201</v>
      </c>
      <c r="Q73">
        <v>63</v>
      </c>
      <c r="R73">
        <v>99</v>
      </c>
      <c r="S73">
        <v>38.6</v>
      </c>
      <c r="T73" s="1">
        <v>45581</v>
      </c>
      <c r="U73" t="s">
        <v>307</v>
      </c>
      <c r="V73" t="s">
        <v>253</v>
      </c>
      <c r="W73" t="s">
        <v>56</v>
      </c>
      <c r="X73" t="s">
        <v>57</v>
      </c>
      <c r="Y73">
        <v>18</v>
      </c>
      <c r="Z73" t="s">
        <v>58</v>
      </c>
      <c r="AA73" t="s">
        <v>107</v>
      </c>
      <c r="AB73" s="1">
        <v>45352</v>
      </c>
      <c r="AC73" t="s">
        <v>60</v>
      </c>
      <c r="AD73" t="s">
        <v>60</v>
      </c>
      <c r="AE73" t="s">
        <v>79</v>
      </c>
      <c r="AF73" t="s">
        <v>63</v>
      </c>
      <c r="AG73" t="s">
        <v>80</v>
      </c>
      <c r="AH73" t="s">
        <v>61</v>
      </c>
      <c r="AI73" t="s">
        <v>60</v>
      </c>
      <c r="AJ73" t="s">
        <v>61</v>
      </c>
      <c r="AL73">
        <v>817.96</v>
      </c>
      <c r="AM73">
        <v>474.67</v>
      </c>
      <c r="AN73">
        <v>1930.59</v>
      </c>
      <c r="AO73">
        <v>0</v>
      </c>
      <c r="AP73">
        <v>2405.2600000000002</v>
      </c>
      <c r="AQ73" t="s">
        <v>91</v>
      </c>
      <c r="AR73" t="s">
        <v>60</v>
      </c>
      <c r="AS73" t="s">
        <v>60</v>
      </c>
      <c r="AT73" t="s">
        <v>101</v>
      </c>
      <c r="AU73">
        <v>1</v>
      </c>
      <c r="AV73" t="s">
        <v>50</v>
      </c>
      <c r="AX73">
        <v>7980</v>
      </c>
    </row>
    <row r="74" spans="1:50" x14ac:dyDescent="0.3">
      <c r="A74">
        <v>1375</v>
      </c>
      <c r="B74" t="s">
        <v>308</v>
      </c>
      <c r="C74">
        <v>17</v>
      </c>
      <c r="D74" t="s">
        <v>103</v>
      </c>
      <c r="E74" t="s">
        <v>50</v>
      </c>
      <c r="F74" t="s">
        <v>51</v>
      </c>
      <c r="G74" t="s">
        <v>117</v>
      </c>
      <c r="H74" t="s">
        <v>117</v>
      </c>
      <c r="I74">
        <v>46.2</v>
      </c>
      <c r="J74">
        <v>1.79</v>
      </c>
      <c r="K74">
        <v>14.4</v>
      </c>
      <c r="L74">
        <v>148</v>
      </c>
      <c r="M74">
        <v>81</v>
      </c>
      <c r="N74">
        <v>238</v>
      </c>
      <c r="O74">
        <v>257</v>
      </c>
      <c r="P74">
        <v>237</v>
      </c>
      <c r="Q74">
        <v>74</v>
      </c>
      <c r="R74">
        <v>92</v>
      </c>
      <c r="S74">
        <v>35.9</v>
      </c>
      <c r="T74" s="1">
        <v>45557</v>
      </c>
      <c r="U74" t="s">
        <v>292</v>
      </c>
      <c r="V74" t="s">
        <v>208</v>
      </c>
      <c r="W74" t="s">
        <v>56</v>
      </c>
      <c r="X74" t="s">
        <v>57</v>
      </c>
      <c r="Y74">
        <v>30</v>
      </c>
      <c r="Z74" t="s">
        <v>78</v>
      </c>
      <c r="AA74" t="s">
        <v>107</v>
      </c>
      <c r="AB74" s="1">
        <v>45460</v>
      </c>
      <c r="AC74" t="s">
        <v>61</v>
      </c>
      <c r="AD74" t="s">
        <v>60</v>
      </c>
      <c r="AE74" t="s">
        <v>79</v>
      </c>
      <c r="AF74" t="s">
        <v>63</v>
      </c>
      <c r="AG74" t="s">
        <v>124</v>
      </c>
      <c r="AH74" t="s">
        <v>60</v>
      </c>
      <c r="AI74" t="s">
        <v>61</v>
      </c>
      <c r="AJ74" t="s">
        <v>61</v>
      </c>
      <c r="AL74">
        <v>681.58</v>
      </c>
      <c r="AM74">
        <v>1526.94</v>
      </c>
      <c r="AN74">
        <v>920.23</v>
      </c>
      <c r="AO74">
        <v>0</v>
      </c>
      <c r="AP74">
        <v>2447.17</v>
      </c>
      <c r="AQ74" t="s">
        <v>91</v>
      </c>
      <c r="AR74" t="s">
        <v>61</v>
      </c>
      <c r="AS74" t="s">
        <v>61</v>
      </c>
      <c r="AT74" t="s">
        <v>58</v>
      </c>
      <c r="AU74">
        <v>1</v>
      </c>
      <c r="AV74" t="s">
        <v>50</v>
      </c>
      <c r="AX74">
        <v>11988</v>
      </c>
    </row>
    <row r="75" spans="1:50" x14ac:dyDescent="0.3">
      <c r="A75">
        <v>1376</v>
      </c>
      <c r="B75" t="s">
        <v>309</v>
      </c>
      <c r="C75">
        <v>11</v>
      </c>
      <c r="D75" t="s">
        <v>49</v>
      </c>
      <c r="E75" t="s">
        <v>50</v>
      </c>
      <c r="F75" t="s">
        <v>210</v>
      </c>
      <c r="G75" t="s">
        <v>53</v>
      </c>
      <c r="H75" t="s">
        <v>68</v>
      </c>
      <c r="I75">
        <v>74.8</v>
      </c>
      <c r="J75">
        <v>1.79</v>
      </c>
      <c r="K75">
        <v>23.3</v>
      </c>
      <c r="L75">
        <v>147</v>
      </c>
      <c r="M75">
        <v>87</v>
      </c>
      <c r="N75">
        <v>184</v>
      </c>
      <c r="O75">
        <v>156</v>
      </c>
      <c r="P75">
        <v>243</v>
      </c>
      <c r="Q75">
        <v>67</v>
      </c>
      <c r="R75">
        <v>94</v>
      </c>
      <c r="S75">
        <v>35.9</v>
      </c>
      <c r="T75" s="1">
        <v>45397</v>
      </c>
      <c r="U75" t="s">
        <v>229</v>
      </c>
      <c r="V75" t="s">
        <v>310</v>
      </c>
      <c r="W75" t="s">
        <v>56</v>
      </c>
      <c r="X75" t="s">
        <v>57</v>
      </c>
      <c r="Y75">
        <v>30</v>
      </c>
      <c r="Z75" t="s">
        <v>71</v>
      </c>
      <c r="AA75" t="s">
        <v>59</v>
      </c>
      <c r="AB75" s="1">
        <v>45438</v>
      </c>
      <c r="AC75" t="s">
        <v>60</v>
      </c>
      <c r="AD75" t="s">
        <v>60</v>
      </c>
      <c r="AE75" t="s">
        <v>79</v>
      </c>
      <c r="AF75" t="s">
        <v>63</v>
      </c>
      <c r="AG75" t="s">
        <v>90</v>
      </c>
      <c r="AH75" t="s">
        <v>81</v>
      </c>
      <c r="AI75" t="s">
        <v>60</v>
      </c>
      <c r="AJ75" t="s">
        <v>60</v>
      </c>
      <c r="AL75">
        <v>720.63</v>
      </c>
      <c r="AM75">
        <v>1490.07</v>
      </c>
      <c r="AN75">
        <v>2746.6</v>
      </c>
      <c r="AO75">
        <v>0</v>
      </c>
      <c r="AP75">
        <v>4236.67</v>
      </c>
      <c r="AQ75" t="s">
        <v>65</v>
      </c>
      <c r="AR75" t="s">
        <v>60</v>
      </c>
      <c r="AS75" t="s">
        <v>61</v>
      </c>
      <c r="AT75" t="s">
        <v>58</v>
      </c>
      <c r="AU75">
        <v>2</v>
      </c>
      <c r="AV75" t="s">
        <v>50</v>
      </c>
      <c r="AX75">
        <v>12789</v>
      </c>
    </row>
    <row r="76" spans="1:50" x14ac:dyDescent="0.3">
      <c r="A76">
        <v>1377</v>
      </c>
      <c r="B76" t="s">
        <v>311</v>
      </c>
      <c r="C76">
        <v>66</v>
      </c>
      <c r="D76" t="s">
        <v>49</v>
      </c>
      <c r="E76" t="s">
        <v>50</v>
      </c>
      <c r="F76" t="s">
        <v>187</v>
      </c>
      <c r="G76" t="s">
        <v>94</v>
      </c>
      <c r="H76" t="s">
        <v>75</v>
      </c>
      <c r="I76">
        <v>104</v>
      </c>
      <c r="J76">
        <v>1.39</v>
      </c>
      <c r="K76">
        <v>53.8</v>
      </c>
      <c r="L76">
        <v>92</v>
      </c>
      <c r="M76">
        <v>93</v>
      </c>
      <c r="N76">
        <v>198</v>
      </c>
      <c r="O76">
        <v>152</v>
      </c>
      <c r="P76">
        <v>207</v>
      </c>
      <c r="Q76">
        <v>79</v>
      </c>
      <c r="R76">
        <v>93</v>
      </c>
      <c r="S76">
        <v>36.9</v>
      </c>
      <c r="T76" s="1">
        <v>45627</v>
      </c>
      <c r="U76" t="s">
        <v>312</v>
      </c>
      <c r="V76" t="s">
        <v>123</v>
      </c>
      <c r="W76" t="s">
        <v>56</v>
      </c>
      <c r="X76" t="s">
        <v>57</v>
      </c>
      <c r="Y76">
        <v>7</v>
      </c>
      <c r="Z76" t="s">
        <v>58</v>
      </c>
      <c r="AA76" t="s">
        <v>112</v>
      </c>
      <c r="AB76" s="1">
        <v>45652</v>
      </c>
      <c r="AC76" t="s">
        <v>61</v>
      </c>
      <c r="AD76" t="s">
        <v>60</v>
      </c>
      <c r="AE76" t="s">
        <v>79</v>
      </c>
      <c r="AF76" t="s">
        <v>63</v>
      </c>
      <c r="AG76" t="s">
        <v>80</v>
      </c>
      <c r="AH76" t="s">
        <v>60</v>
      </c>
      <c r="AI76" t="s">
        <v>60</v>
      </c>
      <c r="AJ76" t="s">
        <v>61</v>
      </c>
      <c r="AL76">
        <v>742.13</v>
      </c>
      <c r="AM76">
        <v>1720.11</v>
      </c>
      <c r="AN76">
        <v>1939.88</v>
      </c>
      <c r="AO76">
        <v>0</v>
      </c>
      <c r="AP76">
        <v>3659.99</v>
      </c>
      <c r="AQ76" t="s">
        <v>91</v>
      </c>
      <c r="AR76" t="s">
        <v>61</v>
      </c>
      <c r="AS76" t="s">
        <v>61</v>
      </c>
      <c r="AT76" t="s">
        <v>101</v>
      </c>
      <c r="AU76">
        <v>4</v>
      </c>
      <c r="AV76" t="s">
        <v>50</v>
      </c>
      <c r="AX76">
        <v>8556</v>
      </c>
    </row>
    <row r="77" spans="1:50" x14ac:dyDescent="0.3">
      <c r="A77">
        <v>1378</v>
      </c>
      <c r="B77" t="s">
        <v>313</v>
      </c>
      <c r="C77">
        <v>44</v>
      </c>
      <c r="D77" t="s">
        <v>49</v>
      </c>
      <c r="E77" t="s">
        <v>50</v>
      </c>
      <c r="F77" t="s">
        <v>163</v>
      </c>
      <c r="G77" t="s">
        <v>117</v>
      </c>
      <c r="H77" t="s">
        <v>117</v>
      </c>
      <c r="I77">
        <v>113.6</v>
      </c>
      <c r="J77">
        <v>1.55</v>
      </c>
      <c r="K77">
        <v>47.3</v>
      </c>
      <c r="L77">
        <v>95</v>
      </c>
      <c r="M77">
        <v>63</v>
      </c>
      <c r="N77">
        <v>111</v>
      </c>
      <c r="O77">
        <v>137</v>
      </c>
      <c r="P77">
        <v>304</v>
      </c>
      <c r="Q77">
        <v>69</v>
      </c>
      <c r="R77">
        <v>93</v>
      </c>
      <c r="S77">
        <v>39.200000000000003</v>
      </c>
      <c r="T77" s="1">
        <v>45313</v>
      </c>
      <c r="U77" t="s">
        <v>314</v>
      </c>
      <c r="V77" t="s">
        <v>123</v>
      </c>
      <c r="W77" t="s">
        <v>56</v>
      </c>
      <c r="X77" t="s">
        <v>57</v>
      </c>
      <c r="Y77">
        <v>30</v>
      </c>
      <c r="Z77" t="s">
        <v>78</v>
      </c>
      <c r="AA77" t="s">
        <v>112</v>
      </c>
      <c r="AB77" s="1">
        <v>45502</v>
      </c>
      <c r="AC77" t="s">
        <v>60</v>
      </c>
      <c r="AD77" t="s">
        <v>60</v>
      </c>
      <c r="AE77" t="s">
        <v>72</v>
      </c>
      <c r="AF77" t="s">
        <v>63</v>
      </c>
      <c r="AG77" t="s">
        <v>100</v>
      </c>
      <c r="AH77" t="s">
        <v>60</v>
      </c>
      <c r="AI77" t="s">
        <v>61</v>
      </c>
      <c r="AJ77" t="s">
        <v>60</v>
      </c>
      <c r="AL77">
        <v>1148.29</v>
      </c>
      <c r="AM77">
        <v>1955.48</v>
      </c>
      <c r="AN77">
        <v>2593.4499999999998</v>
      </c>
      <c r="AO77">
        <v>0</v>
      </c>
      <c r="AP77">
        <v>4548.93</v>
      </c>
      <c r="AQ77" t="s">
        <v>82</v>
      </c>
      <c r="AR77" t="s">
        <v>60</v>
      </c>
      <c r="AS77" t="s">
        <v>60</v>
      </c>
      <c r="AT77" t="s">
        <v>101</v>
      </c>
      <c r="AU77">
        <v>5</v>
      </c>
      <c r="AV77" t="s">
        <v>50</v>
      </c>
      <c r="AX77">
        <v>5985</v>
      </c>
    </row>
    <row r="78" spans="1:50" x14ac:dyDescent="0.3">
      <c r="A78">
        <v>1379</v>
      </c>
      <c r="B78" t="s">
        <v>315</v>
      </c>
      <c r="C78">
        <v>9</v>
      </c>
      <c r="D78" t="s">
        <v>103</v>
      </c>
      <c r="E78" t="s">
        <v>50</v>
      </c>
      <c r="F78" t="s">
        <v>222</v>
      </c>
      <c r="G78" t="s">
        <v>86</v>
      </c>
      <c r="H78" t="s">
        <v>75</v>
      </c>
      <c r="I78">
        <v>94</v>
      </c>
      <c r="J78">
        <v>1.05</v>
      </c>
      <c r="K78">
        <v>85.3</v>
      </c>
      <c r="L78">
        <v>91</v>
      </c>
      <c r="M78">
        <v>100</v>
      </c>
      <c r="N78">
        <v>185</v>
      </c>
      <c r="O78">
        <v>147</v>
      </c>
      <c r="P78">
        <v>290</v>
      </c>
      <c r="Q78">
        <v>62</v>
      </c>
      <c r="R78">
        <v>98</v>
      </c>
      <c r="S78">
        <v>37.799999999999997</v>
      </c>
      <c r="T78" s="1">
        <v>45517</v>
      </c>
      <c r="U78" t="s">
        <v>316</v>
      </c>
      <c r="V78" t="s">
        <v>317</v>
      </c>
      <c r="W78" t="s">
        <v>56</v>
      </c>
      <c r="X78" t="s">
        <v>57</v>
      </c>
      <c r="Y78">
        <v>7</v>
      </c>
      <c r="Z78" t="s">
        <v>71</v>
      </c>
      <c r="AA78" t="s">
        <v>112</v>
      </c>
      <c r="AB78" s="1">
        <v>45329</v>
      </c>
      <c r="AC78" t="s">
        <v>61</v>
      </c>
      <c r="AD78" t="s">
        <v>61</v>
      </c>
      <c r="AE78" t="s">
        <v>62</v>
      </c>
      <c r="AF78" t="s">
        <v>63</v>
      </c>
      <c r="AG78" t="s">
        <v>80</v>
      </c>
      <c r="AH78" t="s">
        <v>61</v>
      </c>
      <c r="AI78" t="s">
        <v>60</v>
      </c>
      <c r="AJ78" t="s">
        <v>60</v>
      </c>
      <c r="AL78">
        <v>735.8</v>
      </c>
      <c r="AM78">
        <v>845.83</v>
      </c>
      <c r="AN78">
        <v>813.64</v>
      </c>
      <c r="AO78">
        <v>0</v>
      </c>
      <c r="AP78">
        <v>1659.47</v>
      </c>
      <c r="AQ78" t="s">
        <v>114</v>
      </c>
      <c r="AR78" t="s">
        <v>61</v>
      </c>
      <c r="AS78" t="s">
        <v>60</v>
      </c>
      <c r="AT78" t="s">
        <v>58</v>
      </c>
      <c r="AU78">
        <v>2</v>
      </c>
      <c r="AV78" t="s">
        <v>50</v>
      </c>
      <c r="AX78">
        <v>9100</v>
      </c>
    </row>
    <row r="79" spans="1:50" x14ac:dyDescent="0.3">
      <c r="A79">
        <v>1380</v>
      </c>
      <c r="B79" t="s">
        <v>318</v>
      </c>
      <c r="C79">
        <v>9</v>
      </c>
      <c r="D79" t="s">
        <v>49</v>
      </c>
      <c r="E79" t="s">
        <v>50</v>
      </c>
      <c r="F79" t="s">
        <v>145</v>
      </c>
      <c r="G79" t="s">
        <v>117</v>
      </c>
      <c r="H79" t="s">
        <v>68</v>
      </c>
      <c r="I79">
        <v>83.6</v>
      </c>
      <c r="J79">
        <v>1.68</v>
      </c>
      <c r="K79">
        <v>29.6</v>
      </c>
      <c r="L79">
        <v>148</v>
      </c>
      <c r="M79">
        <v>96</v>
      </c>
      <c r="N79">
        <v>173</v>
      </c>
      <c r="O79">
        <v>199</v>
      </c>
      <c r="P79">
        <v>120</v>
      </c>
      <c r="Q79">
        <v>106</v>
      </c>
      <c r="R79">
        <v>93</v>
      </c>
      <c r="S79">
        <v>37.9</v>
      </c>
      <c r="T79" s="1">
        <v>45500</v>
      </c>
      <c r="U79" t="s">
        <v>319</v>
      </c>
      <c r="V79" t="s">
        <v>151</v>
      </c>
      <c r="W79" t="s">
        <v>56</v>
      </c>
      <c r="X79" t="s">
        <v>57</v>
      </c>
      <c r="Y79">
        <v>30</v>
      </c>
      <c r="Z79" t="s">
        <v>71</v>
      </c>
      <c r="AA79" t="s">
        <v>112</v>
      </c>
      <c r="AB79" s="1">
        <v>45364</v>
      </c>
      <c r="AC79" t="s">
        <v>60</v>
      </c>
      <c r="AD79" t="s">
        <v>60</v>
      </c>
      <c r="AE79" t="s">
        <v>62</v>
      </c>
      <c r="AF79" t="s">
        <v>63</v>
      </c>
      <c r="AG79" t="s">
        <v>100</v>
      </c>
      <c r="AH79" t="s">
        <v>60</v>
      </c>
      <c r="AI79" t="s">
        <v>60</v>
      </c>
      <c r="AJ79" t="s">
        <v>60</v>
      </c>
      <c r="AL79">
        <v>752.13</v>
      </c>
      <c r="AM79">
        <v>612.16999999999996</v>
      </c>
      <c r="AN79">
        <v>2091.4699999999998</v>
      </c>
      <c r="AO79">
        <v>0</v>
      </c>
      <c r="AP79">
        <v>2703.64</v>
      </c>
      <c r="AQ79" t="s">
        <v>65</v>
      </c>
      <c r="AR79" t="s">
        <v>60</v>
      </c>
      <c r="AS79" t="s">
        <v>60</v>
      </c>
      <c r="AT79" t="s">
        <v>101</v>
      </c>
      <c r="AU79">
        <v>2</v>
      </c>
      <c r="AV79" t="s">
        <v>50</v>
      </c>
      <c r="AX79">
        <v>14208</v>
      </c>
    </row>
    <row r="80" spans="1:50" x14ac:dyDescent="0.3">
      <c r="A80">
        <v>1381</v>
      </c>
      <c r="B80" t="s">
        <v>320</v>
      </c>
      <c r="C80">
        <v>45</v>
      </c>
      <c r="D80" t="s">
        <v>49</v>
      </c>
      <c r="E80" t="s">
        <v>50</v>
      </c>
      <c r="F80" t="s">
        <v>321</v>
      </c>
      <c r="G80" t="s">
        <v>117</v>
      </c>
      <c r="H80" t="s">
        <v>52</v>
      </c>
      <c r="I80">
        <v>62</v>
      </c>
      <c r="J80">
        <v>1.28</v>
      </c>
      <c r="K80">
        <v>37.799999999999997</v>
      </c>
      <c r="L80">
        <v>120</v>
      </c>
      <c r="M80">
        <v>83</v>
      </c>
      <c r="N80">
        <v>176</v>
      </c>
      <c r="O80">
        <v>155</v>
      </c>
      <c r="P80">
        <v>396</v>
      </c>
      <c r="Q80">
        <v>65</v>
      </c>
      <c r="R80">
        <v>97</v>
      </c>
      <c r="S80">
        <v>37.200000000000003</v>
      </c>
      <c r="T80" s="1">
        <v>45335</v>
      </c>
      <c r="U80" t="s">
        <v>297</v>
      </c>
      <c r="V80" t="s">
        <v>322</v>
      </c>
      <c r="W80" t="s">
        <v>56</v>
      </c>
      <c r="X80" t="s">
        <v>57</v>
      </c>
      <c r="Y80">
        <v>23</v>
      </c>
      <c r="Z80" t="s">
        <v>71</v>
      </c>
      <c r="AA80" t="s">
        <v>107</v>
      </c>
      <c r="AB80" s="1">
        <v>45680</v>
      </c>
      <c r="AC80" t="s">
        <v>61</v>
      </c>
      <c r="AD80" t="s">
        <v>61</v>
      </c>
      <c r="AE80" t="s">
        <v>62</v>
      </c>
      <c r="AF80" t="s">
        <v>63</v>
      </c>
      <c r="AG80" t="s">
        <v>124</v>
      </c>
      <c r="AH80" t="s">
        <v>61</v>
      </c>
      <c r="AI80" t="s">
        <v>61</v>
      </c>
      <c r="AJ80" t="s">
        <v>61</v>
      </c>
      <c r="AL80">
        <v>1372.22</v>
      </c>
      <c r="AM80">
        <v>1635.38</v>
      </c>
      <c r="AN80">
        <v>353.47</v>
      </c>
      <c r="AO80">
        <v>0</v>
      </c>
      <c r="AP80">
        <v>1988.85</v>
      </c>
      <c r="AQ80" t="s">
        <v>91</v>
      </c>
      <c r="AR80" t="s">
        <v>61</v>
      </c>
      <c r="AS80" t="s">
        <v>60</v>
      </c>
      <c r="AT80" t="s">
        <v>83</v>
      </c>
      <c r="AU80">
        <v>2</v>
      </c>
      <c r="AV80" t="s">
        <v>50</v>
      </c>
      <c r="AX80">
        <v>9960</v>
      </c>
    </row>
    <row r="81" spans="1:50" x14ac:dyDescent="0.3">
      <c r="A81">
        <v>1382</v>
      </c>
      <c r="B81" t="s">
        <v>323</v>
      </c>
      <c r="C81">
        <v>59</v>
      </c>
      <c r="D81" t="s">
        <v>103</v>
      </c>
      <c r="E81" t="s">
        <v>50</v>
      </c>
      <c r="F81" t="s">
        <v>51</v>
      </c>
      <c r="G81" t="s">
        <v>52</v>
      </c>
      <c r="H81" t="s">
        <v>68</v>
      </c>
      <c r="I81">
        <v>46.9</v>
      </c>
      <c r="J81">
        <v>1.46</v>
      </c>
      <c r="K81">
        <v>22</v>
      </c>
      <c r="L81">
        <v>160</v>
      </c>
      <c r="M81">
        <v>87</v>
      </c>
      <c r="N81">
        <v>171</v>
      </c>
      <c r="O81">
        <v>210</v>
      </c>
      <c r="P81">
        <v>199</v>
      </c>
      <c r="Q81">
        <v>61</v>
      </c>
      <c r="R81">
        <v>95</v>
      </c>
      <c r="S81">
        <v>36.200000000000003</v>
      </c>
      <c r="T81" s="1">
        <v>45505</v>
      </c>
      <c r="U81" t="s">
        <v>172</v>
      </c>
      <c r="V81" t="s">
        <v>324</v>
      </c>
      <c r="W81" t="s">
        <v>56</v>
      </c>
      <c r="X81" t="s">
        <v>57</v>
      </c>
      <c r="Y81">
        <v>8</v>
      </c>
      <c r="Z81" t="s">
        <v>71</v>
      </c>
      <c r="AA81" t="s">
        <v>107</v>
      </c>
      <c r="AB81" s="1">
        <v>45324</v>
      </c>
      <c r="AC81" t="s">
        <v>61</v>
      </c>
      <c r="AD81" t="s">
        <v>61</v>
      </c>
      <c r="AE81" t="s">
        <v>62</v>
      </c>
      <c r="AF81" t="s">
        <v>63</v>
      </c>
      <c r="AG81" t="s">
        <v>124</v>
      </c>
      <c r="AH81" t="s">
        <v>60</v>
      </c>
      <c r="AI81" t="s">
        <v>60</v>
      </c>
      <c r="AJ81" t="s">
        <v>61</v>
      </c>
      <c r="AL81">
        <v>578.92999999999995</v>
      </c>
      <c r="AM81">
        <v>1963.34</v>
      </c>
      <c r="AN81">
        <v>1518.11</v>
      </c>
      <c r="AO81">
        <v>0</v>
      </c>
      <c r="AP81">
        <v>3481.45</v>
      </c>
      <c r="AQ81" t="s">
        <v>91</v>
      </c>
      <c r="AR81" t="s">
        <v>60</v>
      </c>
      <c r="AS81" t="s">
        <v>61</v>
      </c>
      <c r="AT81" t="s">
        <v>101</v>
      </c>
      <c r="AU81">
        <v>4</v>
      </c>
      <c r="AV81" t="s">
        <v>50</v>
      </c>
      <c r="AX81">
        <v>13920</v>
      </c>
    </row>
    <row r="82" spans="1:50" x14ac:dyDescent="0.3">
      <c r="A82">
        <v>1383</v>
      </c>
      <c r="B82" t="s">
        <v>325</v>
      </c>
      <c r="C82">
        <v>12</v>
      </c>
      <c r="D82" t="s">
        <v>103</v>
      </c>
      <c r="E82" t="s">
        <v>50</v>
      </c>
      <c r="F82" t="s">
        <v>291</v>
      </c>
      <c r="G82" t="s">
        <v>117</v>
      </c>
      <c r="H82" t="s">
        <v>52</v>
      </c>
      <c r="I82">
        <v>19.3</v>
      </c>
      <c r="J82">
        <v>1.1499999999999999</v>
      </c>
      <c r="K82">
        <v>14.6</v>
      </c>
      <c r="L82">
        <v>158</v>
      </c>
      <c r="M82">
        <v>92</v>
      </c>
      <c r="N82">
        <v>73</v>
      </c>
      <c r="O82">
        <v>177</v>
      </c>
      <c r="P82">
        <v>120</v>
      </c>
      <c r="Q82">
        <v>79</v>
      </c>
      <c r="R82">
        <v>99</v>
      </c>
      <c r="S82">
        <v>38.5</v>
      </c>
      <c r="T82" s="1">
        <v>45584</v>
      </c>
      <c r="U82" t="s">
        <v>184</v>
      </c>
      <c r="V82" t="s">
        <v>305</v>
      </c>
      <c r="W82" t="s">
        <v>56</v>
      </c>
      <c r="X82" t="s">
        <v>57</v>
      </c>
      <c r="Y82">
        <v>20</v>
      </c>
      <c r="Z82" t="s">
        <v>58</v>
      </c>
      <c r="AA82" t="s">
        <v>107</v>
      </c>
      <c r="AB82" s="1">
        <v>45570</v>
      </c>
      <c r="AC82" t="s">
        <v>60</v>
      </c>
      <c r="AD82" t="s">
        <v>61</v>
      </c>
      <c r="AE82" t="s">
        <v>72</v>
      </c>
      <c r="AF82" t="s">
        <v>63</v>
      </c>
      <c r="AG82" t="s">
        <v>90</v>
      </c>
      <c r="AH82" t="s">
        <v>81</v>
      </c>
      <c r="AI82" t="s">
        <v>61</v>
      </c>
      <c r="AJ82" t="s">
        <v>60</v>
      </c>
      <c r="AL82">
        <v>365.31</v>
      </c>
      <c r="AM82">
        <v>1966.48</v>
      </c>
      <c r="AN82">
        <v>116.81</v>
      </c>
      <c r="AO82">
        <v>0</v>
      </c>
      <c r="AP82">
        <v>2083.29</v>
      </c>
      <c r="AQ82" t="s">
        <v>65</v>
      </c>
      <c r="AR82" t="s">
        <v>60</v>
      </c>
      <c r="AS82" t="s">
        <v>60</v>
      </c>
      <c r="AT82" t="s">
        <v>83</v>
      </c>
      <c r="AU82">
        <v>1</v>
      </c>
      <c r="AV82" t="s">
        <v>50</v>
      </c>
      <c r="AX82">
        <v>14536</v>
      </c>
    </row>
    <row r="83" spans="1:50" x14ac:dyDescent="0.3">
      <c r="A83">
        <v>1384</v>
      </c>
      <c r="B83" t="s">
        <v>326</v>
      </c>
      <c r="C83">
        <v>7</v>
      </c>
      <c r="D83" t="s">
        <v>49</v>
      </c>
      <c r="E83" t="s">
        <v>50</v>
      </c>
      <c r="F83" t="s">
        <v>51</v>
      </c>
      <c r="G83" t="s">
        <v>117</v>
      </c>
      <c r="H83" t="s">
        <v>87</v>
      </c>
      <c r="I83">
        <v>52.9</v>
      </c>
      <c r="J83">
        <v>1.84</v>
      </c>
      <c r="K83">
        <v>15.6</v>
      </c>
      <c r="L83">
        <v>98</v>
      </c>
      <c r="M83">
        <v>68</v>
      </c>
      <c r="N83">
        <v>125</v>
      </c>
      <c r="O83">
        <v>300</v>
      </c>
      <c r="P83">
        <v>180</v>
      </c>
      <c r="Q83">
        <v>90</v>
      </c>
      <c r="R83">
        <v>92</v>
      </c>
      <c r="S83">
        <v>38.700000000000003</v>
      </c>
      <c r="T83" s="1">
        <v>45530</v>
      </c>
      <c r="U83" t="s">
        <v>327</v>
      </c>
      <c r="V83" t="s">
        <v>253</v>
      </c>
      <c r="W83" t="s">
        <v>56</v>
      </c>
      <c r="X83" t="s">
        <v>57</v>
      </c>
      <c r="Y83">
        <v>10</v>
      </c>
      <c r="Z83" t="s">
        <v>71</v>
      </c>
      <c r="AA83" t="s">
        <v>107</v>
      </c>
      <c r="AB83" s="1">
        <v>45319</v>
      </c>
      <c r="AC83" t="s">
        <v>60</v>
      </c>
      <c r="AD83" t="s">
        <v>61</v>
      </c>
      <c r="AE83" t="s">
        <v>79</v>
      </c>
      <c r="AF83" t="s">
        <v>63</v>
      </c>
      <c r="AG83" t="s">
        <v>64</v>
      </c>
      <c r="AH83" t="s">
        <v>81</v>
      </c>
      <c r="AI83" t="s">
        <v>61</v>
      </c>
      <c r="AJ83" t="s">
        <v>61</v>
      </c>
      <c r="AL83">
        <v>1001.23</v>
      </c>
      <c r="AM83">
        <v>1750.4</v>
      </c>
      <c r="AN83">
        <v>2441.48</v>
      </c>
      <c r="AO83">
        <v>0</v>
      </c>
      <c r="AP83">
        <v>4191.88</v>
      </c>
      <c r="AQ83" t="s">
        <v>82</v>
      </c>
      <c r="AR83" t="s">
        <v>60</v>
      </c>
      <c r="AS83" t="s">
        <v>61</v>
      </c>
      <c r="AT83" t="s">
        <v>83</v>
      </c>
      <c r="AU83">
        <v>2</v>
      </c>
      <c r="AV83" t="s">
        <v>50</v>
      </c>
      <c r="AX83">
        <v>6664</v>
      </c>
    </row>
    <row r="84" spans="1:50" x14ac:dyDescent="0.3">
      <c r="A84">
        <v>1385</v>
      </c>
      <c r="B84" t="s">
        <v>328</v>
      </c>
      <c r="C84">
        <v>70</v>
      </c>
      <c r="D84" t="s">
        <v>103</v>
      </c>
      <c r="E84" t="s">
        <v>50</v>
      </c>
      <c r="F84" t="s">
        <v>291</v>
      </c>
      <c r="G84" t="s">
        <v>117</v>
      </c>
      <c r="H84" t="s">
        <v>53</v>
      </c>
      <c r="I84">
        <v>41.4</v>
      </c>
      <c r="J84">
        <v>1.87</v>
      </c>
      <c r="K84">
        <v>11.8</v>
      </c>
      <c r="L84">
        <v>113</v>
      </c>
      <c r="M84">
        <v>67</v>
      </c>
      <c r="N84">
        <v>75</v>
      </c>
      <c r="O84">
        <v>225</v>
      </c>
      <c r="P84">
        <v>271</v>
      </c>
      <c r="Q84">
        <v>67</v>
      </c>
      <c r="R84">
        <v>92</v>
      </c>
      <c r="S84">
        <v>37.9</v>
      </c>
      <c r="T84" s="1">
        <v>45614</v>
      </c>
      <c r="U84" t="s">
        <v>329</v>
      </c>
      <c r="V84" t="s">
        <v>298</v>
      </c>
      <c r="W84" t="s">
        <v>56</v>
      </c>
      <c r="X84" t="s">
        <v>57</v>
      </c>
      <c r="Y84">
        <v>17</v>
      </c>
      <c r="Z84" t="s">
        <v>78</v>
      </c>
      <c r="AA84" t="s">
        <v>59</v>
      </c>
      <c r="AB84" s="1">
        <v>45646</v>
      </c>
      <c r="AC84" t="s">
        <v>60</v>
      </c>
      <c r="AD84" t="s">
        <v>60</v>
      </c>
      <c r="AE84" t="s">
        <v>62</v>
      </c>
      <c r="AF84" t="s">
        <v>63</v>
      </c>
      <c r="AG84" t="s">
        <v>90</v>
      </c>
      <c r="AH84" t="s">
        <v>61</v>
      </c>
      <c r="AI84" t="s">
        <v>60</v>
      </c>
      <c r="AJ84" t="s">
        <v>61</v>
      </c>
      <c r="AL84">
        <v>1214.3399999999999</v>
      </c>
      <c r="AM84">
        <v>1469.51</v>
      </c>
      <c r="AN84">
        <v>2559.6</v>
      </c>
      <c r="AO84">
        <v>0</v>
      </c>
      <c r="AP84">
        <v>4029.11</v>
      </c>
      <c r="AQ84" t="s">
        <v>65</v>
      </c>
      <c r="AR84" t="s">
        <v>61</v>
      </c>
      <c r="AS84" t="s">
        <v>60</v>
      </c>
      <c r="AT84" t="s">
        <v>58</v>
      </c>
      <c r="AU84">
        <v>4</v>
      </c>
      <c r="AV84" t="s">
        <v>50</v>
      </c>
      <c r="AX84">
        <v>7571</v>
      </c>
    </row>
    <row r="85" spans="1:50" x14ac:dyDescent="0.3">
      <c r="A85">
        <v>1386</v>
      </c>
      <c r="B85" t="s">
        <v>330</v>
      </c>
      <c r="C85">
        <v>10</v>
      </c>
      <c r="D85" t="s">
        <v>49</v>
      </c>
      <c r="E85" t="s">
        <v>50</v>
      </c>
      <c r="F85" t="s">
        <v>216</v>
      </c>
      <c r="G85" t="s">
        <v>75</v>
      </c>
      <c r="H85" t="s">
        <v>117</v>
      </c>
      <c r="I85">
        <v>40</v>
      </c>
      <c r="J85">
        <v>1.18</v>
      </c>
      <c r="K85">
        <v>28.7</v>
      </c>
      <c r="L85">
        <v>159</v>
      </c>
      <c r="M85">
        <v>90</v>
      </c>
      <c r="N85">
        <v>200</v>
      </c>
      <c r="O85">
        <v>190</v>
      </c>
      <c r="P85">
        <v>128</v>
      </c>
      <c r="Q85">
        <v>69</v>
      </c>
      <c r="R85">
        <v>98</v>
      </c>
      <c r="S85">
        <v>38.9</v>
      </c>
      <c r="T85" s="1">
        <v>45389</v>
      </c>
      <c r="U85" t="s">
        <v>259</v>
      </c>
      <c r="V85" t="s">
        <v>237</v>
      </c>
      <c r="W85" t="s">
        <v>56</v>
      </c>
      <c r="X85" t="s">
        <v>57</v>
      </c>
      <c r="Y85">
        <v>13</v>
      </c>
      <c r="Z85" t="s">
        <v>58</v>
      </c>
      <c r="AA85" t="s">
        <v>112</v>
      </c>
      <c r="AB85" s="1">
        <v>45551</v>
      </c>
      <c r="AC85" t="s">
        <v>61</v>
      </c>
      <c r="AD85" t="s">
        <v>60</v>
      </c>
      <c r="AE85" t="s">
        <v>62</v>
      </c>
      <c r="AF85" t="s">
        <v>63</v>
      </c>
      <c r="AG85" t="s">
        <v>90</v>
      </c>
      <c r="AH85" t="s">
        <v>81</v>
      </c>
      <c r="AI85" t="s">
        <v>60</v>
      </c>
      <c r="AJ85" t="s">
        <v>61</v>
      </c>
      <c r="AL85">
        <v>481.55</v>
      </c>
      <c r="AM85">
        <v>876.08</v>
      </c>
      <c r="AN85">
        <v>964.01</v>
      </c>
      <c r="AO85">
        <v>0</v>
      </c>
      <c r="AP85">
        <v>1840.09</v>
      </c>
      <c r="AQ85" t="s">
        <v>114</v>
      </c>
      <c r="AR85" t="s">
        <v>60</v>
      </c>
      <c r="AS85" t="s">
        <v>61</v>
      </c>
      <c r="AT85" t="s">
        <v>83</v>
      </c>
      <c r="AU85">
        <v>4</v>
      </c>
      <c r="AV85" t="s">
        <v>50</v>
      </c>
      <c r="AX85">
        <v>14310</v>
      </c>
    </row>
    <row r="86" spans="1:50" x14ac:dyDescent="0.3">
      <c r="A86">
        <v>1387</v>
      </c>
      <c r="B86" t="s">
        <v>331</v>
      </c>
      <c r="C86">
        <v>9</v>
      </c>
      <c r="D86" t="s">
        <v>103</v>
      </c>
      <c r="E86" t="s">
        <v>50</v>
      </c>
      <c r="F86" t="s">
        <v>332</v>
      </c>
      <c r="G86" t="s">
        <v>117</v>
      </c>
      <c r="H86" t="s">
        <v>87</v>
      </c>
      <c r="I86">
        <v>60.9</v>
      </c>
      <c r="J86">
        <v>1.1000000000000001</v>
      </c>
      <c r="K86">
        <v>50.3</v>
      </c>
      <c r="L86">
        <v>123</v>
      </c>
      <c r="M86">
        <v>63</v>
      </c>
      <c r="N86">
        <v>188</v>
      </c>
      <c r="O86">
        <v>205</v>
      </c>
      <c r="P86">
        <v>127</v>
      </c>
      <c r="Q86">
        <v>73</v>
      </c>
      <c r="R86">
        <v>93</v>
      </c>
      <c r="S86">
        <v>37.5</v>
      </c>
      <c r="T86" s="1">
        <v>45363</v>
      </c>
      <c r="U86" t="s">
        <v>333</v>
      </c>
      <c r="V86" t="s">
        <v>203</v>
      </c>
      <c r="W86" t="s">
        <v>56</v>
      </c>
      <c r="X86" t="s">
        <v>57</v>
      </c>
      <c r="Y86">
        <v>27</v>
      </c>
      <c r="Z86" t="s">
        <v>71</v>
      </c>
      <c r="AA86" t="s">
        <v>59</v>
      </c>
      <c r="AB86" s="1">
        <v>45642</v>
      </c>
      <c r="AC86" t="s">
        <v>60</v>
      </c>
      <c r="AD86" t="s">
        <v>60</v>
      </c>
      <c r="AE86" t="s">
        <v>72</v>
      </c>
      <c r="AF86" t="s">
        <v>63</v>
      </c>
      <c r="AG86" t="s">
        <v>80</v>
      </c>
      <c r="AH86" t="s">
        <v>61</v>
      </c>
      <c r="AI86" t="s">
        <v>61</v>
      </c>
      <c r="AJ86" t="s">
        <v>61</v>
      </c>
      <c r="AL86">
        <v>1253.3699999999999</v>
      </c>
      <c r="AM86">
        <v>612.64</v>
      </c>
      <c r="AN86">
        <v>535.24</v>
      </c>
      <c r="AO86">
        <v>0</v>
      </c>
      <c r="AP86">
        <v>1147.8800000000001</v>
      </c>
      <c r="AQ86" t="s">
        <v>91</v>
      </c>
      <c r="AR86" t="s">
        <v>60</v>
      </c>
      <c r="AS86" t="s">
        <v>60</v>
      </c>
      <c r="AT86" t="s">
        <v>58</v>
      </c>
      <c r="AU86">
        <v>4</v>
      </c>
      <c r="AV86" t="s">
        <v>50</v>
      </c>
      <c r="AX86">
        <v>7749</v>
      </c>
    </row>
    <row r="87" spans="1:50" x14ac:dyDescent="0.3">
      <c r="A87">
        <v>1388</v>
      </c>
      <c r="B87" t="s">
        <v>334</v>
      </c>
      <c r="C87">
        <v>74</v>
      </c>
      <c r="D87" t="s">
        <v>49</v>
      </c>
      <c r="E87" t="s">
        <v>50</v>
      </c>
      <c r="F87" t="s">
        <v>295</v>
      </c>
      <c r="G87" t="s">
        <v>87</v>
      </c>
      <c r="H87" t="s">
        <v>52</v>
      </c>
      <c r="I87">
        <v>51.3</v>
      </c>
      <c r="J87">
        <v>1.67</v>
      </c>
      <c r="K87">
        <v>18.399999999999999</v>
      </c>
      <c r="L87">
        <v>129</v>
      </c>
      <c r="M87">
        <v>99</v>
      </c>
      <c r="N87">
        <v>109</v>
      </c>
      <c r="O87">
        <v>131</v>
      </c>
      <c r="P87">
        <v>192</v>
      </c>
      <c r="Q87">
        <v>63</v>
      </c>
      <c r="R87">
        <v>92</v>
      </c>
      <c r="S87">
        <v>37.299999999999997</v>
      </c>
      <c r="T87" s="1">
        <v>45598</v>
      </c>
      <c r="U87" t="s">
        <v>335</v>
      </c>
      <c r="V87" t="s">
        <v>260</v>
      </c>
      <c r="W87" t="s">
        <v>56</v>
      </c>
      <c r="X87" t="s">
        <v>57</v>
      </c>
      <c r="Y87">
        <v>7</v>
      </c>
      <c r="Z87" t="s">
        <v>78</v>
      </c>
      <c r="AA87" t="s">
        <v>59</v>
      </c>
      <c r="AB87" s="1">
        <v>45643</v>
      </c>
      <c r="AC87" t="s">
        <v>61</v>
      </c>
      <c r="AD87" t="s">
        <v>61</v>
      </c>
      <c r="AE87" t="s">
        <v>62</v>
      </c>
      <c r="AF87" t="s">
        <v>63</v>
      </c>
      <c r="AG87" t="s">
        <v>124</v>
      </c>
      <c r="AH87" t="s">
        <v>61</v>
      </c>
      <c r="AI87" t="s">
        <v>61</v>
      </c>
      <c r="AJ87" t="s">
        <v>60</v>
      </c>
      <c r="AL87">
        <v>348.95</v>
      </c>
      <c r="AM87">
        <v>1208</v>
      </c>
      <c r="AN87">
        <v>2312.46</v>
      </c>
      <c r="AO87">
        <v>0</v>
      </c>
      <c r="AP87">
        <v>3520.46</v>
      </c>
      <c r="AQ87" t="s">
        <v>114</v>
      </c>
      <c r="AR87" t="s">
        <v>60</v>
      </c>
      <c r="AS87" t="s">
        <v>61</v>
      </c>
      <c r="AT87" t="s">
        <v>58</v>
      </c>
      <c r="AU87">
        <v>2</v>
      </c>
      <c r="AV87" t="s">
        <v>50</v>
      </c>
      <c r="AX87">
        <v>12771</v>
      </c>
    </row>
    <row r="88" spans="1:50" x14ac:dyDescent="0.3">
      <c r="A88">
        <v>1389</v>
      </c>
      <c r="B88" t="s">
        <v>336</v>
      </c>
      <c r="C88">
        <v>17</v>
      </c>
      <c r="D88" t="s">
        <v>103</v>
      </c>
      <c r="E88" t="s">
        <v>50</v>
      </c>
      <c r="F88" t="s">
        <v>243</v>
      </c>
      <c r="G88" t="s">
        <v>68</v>
      </c>
      <c r="H88" t="s">
        <v>52</v>
      </c>
      <c r="I88">
        <v>25.5</v>
      </c>
      <c r="J88">
        <v>1.28</v>
      </c>
      <c r="K88">
        <v>15.6</v>
      </c>
      <c r="L88">
        <v>93</v>
      </c>
      <c r="M88">
        <v>73</v>
      </c>
      <c r="N88">
        <v>228</v>
      </c>
      <c r="O88">
        <v>251</v>
      </c>
      <c r="P88">
        <v>382</v>
      </c>
      <c r="Q88">
        <v>78</v>
      </c>
      <c r="R88">
        <v>100</v>
      </c>
      <c r="S88">
        <v>38.1</v>
      </c>
      <c r="T88" s="1">
        <v>45394</v>
      </c>
      <c r="U88" t="s">
        <v>232</v>
      </c>
      <c r="V88" t="s">
        <v>214</v>
      </c>
      <c r="W88" t="s">
        <v>56</v>
      </c>
      <c r="X88" t="s">
        <v>57</v>
      </c>
      <c r="Y88">
        <v>21</v>
      </c>
      <c r="Z88" t="s">
        <v>78</v>
      </c>
      <c r="AA88" t="s">
        <v>112</v>
      </c>
      <c r="AB88" s="1">
        <v>45361</v>
      </c>
      <c r="AC88" t="s">
        <v>61</v>
      </c>
      <c r="AD88" t="s">
        <v>60</v>
      </c>
      <c r="AE88" t="s">
        <v>79</v>
      </c>
      <c r="AF88" t="s">
        <v>63</v>
      </c>
      <c r="AG88" t="s">
        <v>113</v>
      </c>
      <c r="AH88" t="s">
        <v>60</v>
      </c>
      <c r="AI88" t="s">
        <v>60</v>
      </c>
      <c r="AJ88" t="s">
        <v>60</v>
      </c>
      <c r="AL88">
        <v>1101.6400000000001</v>
      </c>
      <c r="AM88">
        <v>1433.28</v>
      </c>
      <c r="AN88">
        <v>1903.18</v>
      </c>
      <c r="AO88">
        <v>0</v>
      </c>
      <c r="AP88">
        <v>3336.46</v>
      </c>
      <c r="AQ88" t="s">
        <v>65</v>
      </c>
      <c r="AR88" t="s">
        <v>61</v>
      </c>
      <c r="AS88" t="s">
        <v>60</v>
      </c>
      <c r="AT88" t="s">
        <v>83</v>
      </c>
      <c r="AU88">
        <v>3</v>
      </c>
      <c r="AV88" t="s">
        <v>50</v>
      </c>
      <c r="AX88">
        <v>6789</v>
      </c>
    </row>
    <row r="89" spans="1:50" x14ac:dyDescent="0.3">
      <c r="A89">
        <v>1390</v>
      </c>
      <c r="B89" t="s">
        <v>337</v>
      </c>
      <c r="C89">
        <v>1</v>
      </c>
      <c r="D89" t="s">
        <v>49</v>
      </c>
      <c r="E89" t="s">
        <v>50</v>
      </c>
      <c r="F89" t="s">
        <v>338</v>
      </c>
      <c r="G89" t="s">
        <v>94</v>
      </c>
      <c r="H89" t="s">
        <v>53</v>
      </c>
      <c r="I89">
        <v>83.5</v>
      </c>
      <c r="J89">
        <v>1.83</v>
      </c>
      <c r="K89">
        <v>24.9</v>
      </c>
      <c r="L89">
        <v>160</v>
      </c>
      <c r="M89">
        <v>76</v>
      </c>
      <c r="N89">
        <v>132</v>
      </c>
      <c r="O89">
        <v>173</v>
      </c>
      <c r="P89">
        <v>261</v>
      </c>
      <c r="Q89">
        <v>75</v>
      </c>
      <c r="R89">
        <v>97</v>
      </c>
      <c r="S89">
        <v>37.200000000000003</v>
      </c>
      <c r="T89" s="1">
        <v>45456</v>
      </c>
      <c r="U89" t="s">
        <v>339</v>
      </c>
      <c r="V89" t="s">
        <v>322</v>
      </c>
      <c r="W89" t="s">
        <v>56</v>
      </c>
      <c r="X89" t="s">
        <v>57</v>
      </c>
      <c r="Y89">
        <v>27</v>
      </c>
      <c r="Z89" t="s">
        <v>58</v>
      </c>
      <c r="AA89" t="s">
        <v>107</v>
      </c>
      <c r="AB89" s="1">
        <v>45323</v>
      </c>
      <c r="AC89" t="s">
        <v>60</v>
      </c>
      <c r="AD89" t="s">
        <v>61</v>
      </c>
      <c r="AE89" t="s">
        <v>72</v>
      </c>
      <c r="AF89" t="s">
        <v>63</v>
      </c>
      <c r="AG89" t="s">
        <v>80</v>
      </c>
      <c r="AH89" t="s">
        <v>61</v>
      </c>
      <c r="AI89" t="s">
        <v>60</v>
      </c>
      <c r="AJ89" t="s">
        <v>61</v>
      </c>
      <c r="AL89">
        <v>388.46</v>
      </c>
      <c r="AM89">
        <v>1543.72</v>
      </c>
      <c r="AN89">
        <v>1837.15</v>
      </c>
      <c r="AO89">
        <v>0</v>
      </c>
      <c r="AP89">
        <v>3380.87</v>
      </c>
      <c r="AQ89" t="s">
        <v>82</v>
      </c>
      <c r="AR89" t="s">
        <v>60</v>
      </c>
      <c r="AS89" t="s">
        <v>61</v>
      </c>
      <c r="AT89" t="s">
        <v>83</v>
      </c>
      <c r="AU89">
        <v>5</v>
      </c>
      <c r="AV89" t="s">
        <v>50</v>
      </c>
      <c r="AX89">
        <v>12160</v>
      </c>
    </row>
    <row r="90" spans="1:50" x14ac:dyDescent="0.3">
      <c r="A90">
        <v>1391</v>
      </c>
      <c r="B90" t="s">
        <v>340</v>
      </c>
      <c r="C90">
        <v>50</v>
      </c>
      <c r="D90" t="s">
        <v>103</v>
      </c>
      <c r="E90" t="s">
        <v>50</v>
      </c>
      <c r="F90" t="s">
        <v>243</v>
      </c>
      <c r="G90" t="s">
        <v>68</v>
      </c>
      <c r="H90" t="s">
        <v>68</v>
      </c>
      <c r="I90">
        <v>34.5</v>
      </c>
      <c r="J90">
        <v>1.1100000000000001</v>
      </c>
      <c r="K90">
        <v>28</v>
      </c>
      <c r="L90">
        <v>110</v>
      </c>
      <c r="M90">
        <v>71</v>
      </c>
      <c r="N90">
        <v>158</v>
      </c>
      <c r="O90">
        <v>187</v>
      </c>
      <c r="P90">
        <v>338</v>
      </c>
      <c r="Q90">
        <v>60</v>
      </c>
      <c r="R90">
        <v>94</v>
      </c>
      <c r="S90">
        <v>36.700000000000003</v>
      </c>
      <c r="T90" s="1">
        <v>45414</v>
      </c>
      <c r="U90" t="s">
        <v>341</v>
      </c>
      <c r="V90" t="s">
        <v>128</v>
      </c>
      <c r="W90" t="s">
        <v>56</v>
      </c>
      <c r="X90" t="s">
        <v>57</v>
      </c>
      <c r="Y90">
        <v>20</v>
      </c>
      <c r="Z90" t="s">
        <v>71</v>
      </c>
      <c r="AA90" t="s">
        <v>112</v>
      </c>
      <c r="AB90" s="1">
        <v>45448</v>
      </c>
      <c r="AC90" t="s">
        <v>60</v>
      </c>
      <c r="AD90" t="s">
        <v>60</v>
      </c>
      <c r="AE90" t="s">
        <v>62</v>
      </c>
      <c r="AF90" t="s">
        <v>63</v>
      </c>
      <c r="AG90" t="s">
        <v>113</v>
      </c>
      <c r="AH90" t="s">
        <v>61</v>
      </c>
      <c r="AI90" t="s">
        <v>61</v>
      </c>
      <c r="AJ90" t="s">
        <v>60</v>
      </c>
      <c r="AL90">
        <v>852.93</v>
      </c>
      <c r="AM90">
        <v>855.29</v>
      </c>
      <c r="AN90">
        <v>910.18</v>
      </c>
      <c r="AO90">
        <v>0</v>
      </c>
      <c r="AP90">
        <v>1765.47</v>
      </c>
      <c r="AQ90" t="s">
        <v>65</v>
      </c>
      <c r="AR90" t="s">
        <v>61</v>
      </c>
      <c r="AS90" t="s">
        <v>60</v>
      </c>
      <c r="AT90" t="s">
        <v>83</v>
      </c>
      <c r="AU90">
        <v>2</v>
      </c>
      <c r="AV90" t="s">
        <v>50</v>
      </c>
      <c r="AX90">
        <v>7810</v>
      </c>
    </row>
    <row r="91" spans="1:50" x14ac:dyDescent="0.3">
      <c r="A91">
        <v>1392</v>
      </c>
      <c r="B91" t="s">
        <v>342</v>
      </c>
      <c r="C91">
        <v>61</v>
      </c>
      <c r="D91" t="s">
        <v>103</v>
      </c>
      <c r="E91" t="s">
        <v>50</v>
      </c>
      <c r="F91" t="s">
        <v>287</v>
      </c>
      <c r="G91" t="s">
        <v>52</v>
      </c>
      <c r="H91" t="s">
        <v>87</v>
      </c>
      <c r="I91">
        <v>50.3</v>
      </c>
      <c r="J91">
        <v>1.8</v>
      </c>
      <c r="K91">
        <v>15.5</v>
      </c>
      <c r="L91">
        <v>102</v>
      </c>
      <c r="M91">
        <v>63</v>
      </c>
      <c r="N91">
        <v>140</v>
      </c>
      <c r="O91">
        <v>188</v>
      </c>
      <c r="P91">
        <v>361</v>
      </c>
      <c r="Q91">
        <v>82</v>
      </c>
      <c r="R91">
        <v>94</v>
      </c>
      <c r="S91">
        <v>38.4</v>
      </c>
      <c r="T91" s="1">
        <v>45353</v>
      </c>
      <c r="U91" t="s">
        <v>153</v>
      </c>
      <c r="V91" t="s">
        <v>196</v>
      </c>
      <c r="W91" t="s">
        <v>56</v>
      </c>
      <c r="X91" t="s">
        <v>57</v>
      </c>
      <c r="Y91">
        <v>7</v>
      </c>
      <c r="Z91" t="s">
        <v>71</v>
      </c>
      <c r="AA91" t="s">
        <v>112</v>
      </c>
      <c r="AB91" s="1">
        <v>45381</v>
      </c>
      <c r="AC91" t="s">
        <v>61</v>
      </c>
      <c r="AD91" t="s">
        <v>60</v>
      </c>
      <c r="AE91" t="s">
        <v>72</v>
      </c>
      <c r="AF91" t="s">
        <v>63</v>
      </c>
      <c r="AG91" t="s">
        <v>64</v>
      </c>
      <c r="AH91" t="s">
        <v>61</v>
      </c>
      <c r="AI91" t="s">
        <v>60</v>
      </c>
      <c r="AJ91" t="s">
        <v>60</v>
      </c>
      <c r="AL91">
        <v>477.64</v>
      </c>
      <c r="AM91">
        <v>267.51</v>
      </c>
      <c r="AN91">
        <v>895.13</v>
      </c>
      <c r="AO91">
        <v>0</v>
      </c>
      <c r="AP91">
        <v>1162.6400000000001</v>
      </c>
      <c r="AQ91" t="s">
        <v>65</v>
      </c>
      <c r="AR91" t="s">
        <v>60</v>
      </c>
      <c r="AS91" t="s">
        <v>60</v>
      </c>
      <c r="AT91" t="s">
        <v>58</v>
      </c>
      <c r="AU91">
        <v>1</v>
      </c>
      <c r="AV91" t="s">
        <v>50</v>
      </c>
      <c r="AX91">
        <v>6426</v>
      </c>
    </row>
    <row r="92" spans="1:50" x14ac:dyDescent="0.3">
      <c r="A92">
        <v>1393</v>
      </c>
      <c r="B92" t="s">
        <v>343</v>
      </c>
      <c r="C92">
        <v>34</v>
      </c>
      <c r="D92" t="s">
        <v>49</v>
      </c>
      <c r="E92" t="s">
        <v>50</v>
      </c>
      <c r="F92" t="s">
        <v>302</v>
      </c>
      <c r="G92" t="s">
        <v>94</v>
      </c>
      <c r="H92" t="s">
        <v>68</v>
      </c>
      <c r="I92">
        <v>116</v>
      </c>
      <c r="J92">
        <v>1.1499999999999999</v>
      </c>
      <c r="K92">
        <v>87.7</v>
      </c>
      <c r="L92">
        <v>130</v>
      </c>
      <c r="M92">
        <v>60</v>
      </c>
      <c r="N92">
        <v>81</v>
      </c>
      <c r="O92">
        <v>198</v>
      </c>
      <c r="P92">
        <v>235</v>
      </c>
      <c r="Q92">
        <v>103</v>
      </c>
      <c r="R92">
        <v>92</v>
      </c>
      <c r="S92">
        <v>38.6</v>
      </c>
      <c r="T92" s="1">
        <v>45386</v>
      </c>
      <c r="U92" t="s">
        <v>344</v>
      </c>
      <c r="V92" t="s">
        <v>230</v>
      </c>
      <c r="W92" t="s">
        <v>56</v>
      </c>
      <c r="X92" t="s">
        <v>57</v>
      </c>
      <c r="Y92">
        <v>22</v>
      </c>
      <c r="Z92" t="s">
        <v>71</v>
      </c>
      <c r="AA92" t="s">
        <v>59</v>
      </c>
      <c r="AB92" s="1">
        <v>45605</v>
      </c>
      <c r="AC92" t="s">
        <v>60</v>
      </c>
      <c r="AD92" t="s">
        <v>60</v>
      </c>
      <c r="AE92" t="s">
        <v>62</v>
      </c>
      <c r="AF92" t="s">
        <v>63</v>
      </c>
      <c r="AG92" t="s">
        <v>113</v>
      </c>
      <c r="AH92" t="s">
        <v>61</v>
      </c>
      <c r="AI92" t="s">
        <v>60</v>
      </c>
      <c r="AJ92" t="s">
        <v>60</v>
      </c>
      <c r="AL92">
        <v>553.29999999999995</v>
      </c>
      <c r="AM92">
        <v>1882.41</v>
      </c>
      <c r="AN92">
        <v>2537.3000000000002</v>
      </c>
      <c r="AO92">
        <v>0</v>
      </c>
      <c r="AP92">
        <v>4419.71</v>
      </c>
      <c r="AQ92" t="s">
        <v>91</v>
      </c>
      <c r="AR92" t="s">
        <v>60</v>
      </c>
      <c r="AS92" t="s">
        <v>61</v>
      </c>
      <c r="AT92" t="s">
        <v>58</v>
      </c>
      <c r="AU92">
        <v>4</v>
      </c>
      <c r="AV92" t="s">
        <v>50</v>
      </c>
      <c r="AX92">
        <v>7800</v>
      </c>
    </row>
    <row r="93" spans="1:50" x14ac:dyDescent="0.3">
      <c r="A93">
        <v>1394</v>
      </c>
      <c r="B93" t="s">
        <v>345</v>
      </c>
      <c r="C93">
        <v>29</v>
      </c>
      <c r="D93" t="s">
        <v>49</v>
      </c>
      <c r="E93" t="s">
        <v>50</v>
      </c>
      <c r="F93" t="s">
        <v>137</v>
      </c>
      <c r="G93" t="s">
        <v>68</v>
      </c>
      <c r="H93" t="s">
        <v>68</v>
      </c>
      <c r="I93">
        <v>95.5</v>
      </c>
      <c r="J93">
        <v>1.44</v>
      </c>
      <c r="K93">
        <v>46.1</v>
      </c>
      <c r="L93">
        <v>95</v>
      </c>
      <c r="M93">
        <v>70</v>
      </c>
      <c r="N93">
        <v>97</v>
      </c>
      <c r="O93">
        <v>237</v>
      </c>
      <c r="P93">
        <v>220</v>
      </c>
      <c r="Q93">
        <v>78</v>
      </c>
      <c r="R93">
        <v>92</v>
      </c>
      <c r="S93">
        <v>37.5</v>
      </c>
      <c r="T93" s="1">
        <v>45299</v>
      </c>
      <c r="U93" t="s">
        <v>198</v>
      </c>
      <c r="V93" t="s">
        <v>139</v>
      </c>
      <c r="W93" t="s">
        <v>56</v>
      </c>
      <c r="X93" t="s">
        <v>57</v>
      </c>
      <c r="Y93">
        <v>26</v>
      </c>
      <c r="Z93" t="s">
        <v>58</v>
      </c>
      <c r="AA93" t="s">
        <v>112</v>
      </c>
      <c r="AB93" s="1">
        <v>45473</v>
      </c>
      <c r="AC93" t="s">
        <v>61</v>
      </c>
      <c r="AD93" t="s">
        <v>60</v>
      </c>
      <c r="AE93" t="s">
        <v>62</v>
      </c>
      <c r="AF93" t="s">
        <v>63</v>
      </c>
      <c r="AG93" t="s">
        <v>100</v>
      </c>
      <c r="AH93" t="s">
        <v>61</v>
      </c>
      <c r="AI93" t="s">
        <v>61</v>
      </c>
      <c r="AJ93" t="s">
        <v>60</v>
      </c>
      <c r="AL93">
        <v>512.79999999999995</v>
      </c>
      <c r="AM93">
        <v>284.08</v>
      </c>
      <c r="AN93">
        <v>2773.14</v>
      </c>
      <c r="AO93">
        <v>0</v>
      </c>
      <c r="AP93">
        <v>3057.22</v>
      </c>
      <c r="AQ93" t="s">
        <v>91</v>
      </c>
      <c r="AR93" t="s">
        <v>60</v>
      </c>
      <c r="AS93" t="s">
        <v>60</v>
      </c>
      <c r="AT93" t="s">
        <v>101</v>
      </c>
      <c r="AU93">
        <v>1</v>
      </c>
      <c r="AV93" t="s">
        <v>50</v>
      </c>
      <c r="AX93">
        <v>6650</v>
      </c>
    </row>
    <row r="94" spans="1:50" x14ac:dyDescent="0.3">
      <c r="A94">
        <v>1395</v>
      </c>
      <c r="B94" t="s">
        <v>346</v>
      </c>
      <c r="C94">
        <v>49</v>
      </c>
      <c r="D94" t="s">
        <v>103</v>
      </c>
      <c r="E94" t="s">
        <v>50</v>
      </c>
      <c r="F94" t="s">
        <v>347</v>
      </c>
      <c r="G94" t="s">
        <v>53</v>
      </c>
      <c r="H94" t="s">
        <v>68</v>
      </c>
      <c r="I94">
        <v>43.9</v>
      </c>
      <c r="J94">
        <v>1.61</v>
      </c>
      <c r="K94">
        <v>16.899999999999999</v>
      </c>
      <c r="L94">
        <v>139</v>
      </c>
      <c r="M94">
        <v>72</v>
      </c>
      <c r="N94">
        <v>199</v>
      </c>
      <c r="O94">
        <v>276</v>
      </c>
      <c r="P94">
        <v>292</v>
      </c>
      <c r="Q94">
        <v>93</v>
      </c>
      <c r="R94">
        <v>95</v>
      </c>
      <c r="S94">
        <v>38.9</v>
      </c>
      <c r="T94" s="1">
        <v>45416</v>
      </c>
      <c r="U94" t="s">
        <v>348</v>
      </c>
      <c r="V94" t="s">
        <v>119</v>
      </c>
      <c r="W94" t="s">
        <v>56</v>
      </c>
      <c r="X94" t="s">
        <v>57</v>
      </c>
      <c r="Y94">
        <v>20</v>
      </c>
      <c r="Z94" t="s">
        <v>71</v>
      </c>
      <c r="AA94" t="s">
        <v>107</v>
      </c>
      <c r="AB94" s="1">
        <v>45416</v>
      </c>
      <c r="AC94" t="s">
        <v>61</v>
      </c>
      <c r="AD94" t="s">
        <v>60</v>
      </c>
      <c r="AE94" t="s">
        <v>79</v>
      </c>
      <c r="AF94" t="s">
        <v>63</v>
      </c>
      <c r="AG94" t="s">
        <v>100</v>
      </c>
      <c r="AH94" t="s">
        <v>60</v>
      </c>
      <c r="AI94" t="s">
        <v>61</v>
      </c>
      <c r="AJ94" t="s">
        <v>60</v>
      </c>
      <c r="AL94">
        <v>398.86</v>
      </c>
      <c r="AM94">
        <v>543.55999999999995</v>
      </c>
      <c r="AN94">
        <v>1035.53</v>
      </c>
      <c r="AO94">
        <v>0</v>
      </c>
      <c r="AP94">
        <v>1579.09</v>
      </c>
      <c r="AQ94" t="s">
        <v>65</v>
      </c>
      <c r="AR94" t="s">
        <v>61</v>
      </c>
      <c r="AS94" t="s">
        <v>60</v>
      </c>
      <c r="AT94" t="s">
        <v>101</v>
      </c>
      <c r="AU94">
        <v>4</v>
      </c>
      <c r="AV94" t="s">
        <v>50</v>
      </c>
      <c r="AX94">
        <v>10008</v>
      </c>
    </row>
    <row r="99" spans="1:6" x14ac:dyDescent="0.3">
      <c r="A99">
        <v>1</v>
      </c>
      <c r="B99" s="2">
        <v>30</v>
      </c>
      <c r="D99">
        <f>COUNTIFS(C2:C94,"&gt;=1",D2:D94,"M",G2:G94,"Obesidad",C2:C94,"&lt;31")</f>
        <v>1</v>
      </c>
      <c r="F99">
        <f>SUMIFS(AN2:AN94,C2:C94,"&gt;=1",D2:D94,"M",G2:G94,"Obesidad",C2:C94,"&lt;31")</f>
        <v>2746.6</v>
      </c>
    </row>
    <row r="100" spans="1:6" x14ac:dyDescent="0.3">
      <c r="A100">
        <v>31</v>
      </c>
      <c r="B100">
        <v>60</v>
      </c>
      <c r="D100">
        <f>COUNTIFS(C2:C94,"&gt;=31",D2:D94,"M",G2:G94,"Obesidad",C2:C94,"&lt;61")</f>
        <v>1</v>
      </c>
      <c r="F100">
        <f>SUMIFS(AN2:AN94,C2:C94,"&gt;=31",D2:D94,"M",G2:G94,"Obesidad",C2:C94,"&lt;60")</f>
        <v>1937.76</v>
      </c>
    </row>
    <row r="101" spans="1:6" x14ac:dyDescent="0.3">
      <c r="A101">
        <v>61</v>
      </c>
      <c r="B101">
        <v>90</v>
      </c>
      <c r="D101">
        <f>COUNTIFS(C2:C94,"&gt;=61",D2:D94,"M",G2:G94,"Obesidad",C2:C94,"&lt;90")</f>
        <v>3</v>
      </c>
      <c r="F101">
        <f>SUMIFS(AN2:AN94,C2:C94,"&gt;=61",D2:D94,"M",G2:G94,"Obesidad",C2:C94,"&lt;90")</f>
        <v>6873.04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Resultados_Medicos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ADOLFO SALINAS BAUTISTA</cp:lastModifiedBy>
  <dcterms:created xsi:type="dcterms:W3CDTF">2026-02-06T20:22:49Z</dcterms:created>
  <dcterms:modified xsi:type="dcterms:W3CDTF">2026-02-07T00:51:00Z</dcterms:modified>
</cp:coreProperties>
</file>